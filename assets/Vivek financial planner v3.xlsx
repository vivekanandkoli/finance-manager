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Wealth Dashboard" sheetId="1" r:id="rId5"/>
    <sheet state="visible" name="📅 Year-on-Year Roadmap" sheetId="2" r:id="rId6"/>
    <sheet state="visible" name="📈 MF Portfolio" sheetId="3" r:id="rId7"/>
    <sheet state="visible" name="🗓️ Monthly Tracker" sheetId="4" r:id="rId8"/>
    <sheet state="visible" name="🏠 Home Loan Tracker" sheetId="5" r:id="rId9"/>
    <sheet state="visible" name="✅ Planning Checklist" sheetId="6" r:id="rId10"/>
    <sheet state="hidden" name="🔒 NPS Analysis" sheetId="7" r:id="rId11"/>
    <sheet state="hidden" name="💎 Diversification Guide" sheetId="8" r:id="rId12"/>
    <sheet state="visible" name="⚙️ Assumption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Airtel Recharge - 5000
</t>
      </text>
    </comment>
  </commentList>
</comments>
</file>

<file path=xl/sharedStrings.xml><?xml version="1.0" encoding="utf-8"?>
<sst xmlns="http://schemas.openxmlformats.org/spreadsheetml/2006/main" count="1299" uniqueCount="852">
  <si>
    <t>💼  VIVEK'S PERSONAL WEALTH DASHBOARD  |  All values pull from Assumptions &amp; Trackers automatically</t>
  </si>
  <si>
    <t>Age: 32  |  Bangkok, Thailand  |  NRI  |  Baby due: Early 2027  |  India return: 2028-29</t>
  </si>
  <si>
    <t>🎯  FI Target: Age 50 (2043)  |  FI Corpus: ₹6 Crore  |  Family Obligations: ₹20L reserved</t>
  </si>
  <si>
    <t>💰 NET WORTH (₹)</t>
  </si>
  <si>
    <t>🏠 HOME LOAN BALANCE</t>
  </si>
  <si>
    <t>📈 MF PORTFOLIO</t>
  </si>
  <si>
    <t>📌  KEY METRICS</t>
  </si>
  <si>
    <t>Home Loan Remaining Months</t>
  </si>
  <si>
    <t>months</t>
  </si>
  <si>
    <t>Assets minus all liabilities</t>
  </si>
  <si>
    <t>Live from monthly tracker</t>
  </si>
  <si>
    <t>22 funds → consolidate to 5</t>
  </si>
  <si>
    <t>Home Loan Closure (est.)</t>
  </si>
  <si>
    <t>date</t>
  </si>
  <si>
    <t>Family Obligation Reserved</t>
  </si>
  <si>
    <t>₹</t>
  </si>
  <si>
    <t>💵 MONTHLY SURPLUS</t>
  </si>
  <si>
    <t>💲 MONTHLY SIP</t>
  </si>
  <si>
    <t>📊 FI PROGRESS</t>
  </si>
  <si>
    <t>Real Estate Appreciation</t>
  </si>
  <si>
    <t>% p.a.</t>
  </si>
  <si>
    <t>MF CAGR Assumption</t>
  </si>
  <si>
    <t>After all costs; pre-investment</t>
  </si>
  <si>
    <t>Equity + Liquid funds</t>
  </si>
  <si>
    <t>% of ₹6Cr FI corpus</t>
  </si>
  <si>
    <t>Inflation Assumption</t>
  </si>
  <si>
    <t>Emergency Fund</t>
  </si>
  <si>
    <t>📂  ASSET BREAKDOWN  (auto-updates from Assumptions sheet)</t>
  </si>
  <si>
    <t>Emergency Fund Target</t>
  </si>
  <si>
    <t>300000</t>
  </si>
  <si>
    <t>Asset / Liability</t>
  </si>
  <si>
    <t>Current Value (₹)</t>
  </si>
  <si>
    <t>% of Assets</t>
  </si>
  <si>
    <t>Notes</t>
  </si>
  <si>
    <t>Action</t>
  </si>
  <si>
    <t>Monthly SIP</t>
  </si>
  <si>
    <t>₹/mo</t>
  </si>
  <si>
    <t>Mumbai Flat (Market Value)</t>
  </si>
  <si>
    <t>Edit in Assumptions</t>
  </si>
  <si>
    <t>Update annually</t>
  </si>
  <si>
    <t>FI Corpus Target</t>
  </si>
  <si>
    <t>Purchase Price (2020)</t>
  </si>
  <si>
    <t>Reference only</t>
  </si>
  <si>
    <t>₹1.10 Cr; appreciation = Market - Purchase</t>
  </si>
  <si>
    <t>Years to FI</t>
  </si>
  <si>
    <t>years</t>
  </si>
  <si>
    <t>Appreciation Gain</t>
  </si>
  <si>
    <t>Paper gain</t>
  </si>
  <si>
    <t>Taxable if sold</t>
  </si>
  <si>
    <t>Home Loan (LIABILITY)</t>
  </si>
  <si>
    <t>Negative</t>
  </si>
  <si>
    <t>SBI floating 9.45%</t>
  </si>
  <si>
    <t>Net Real Estate</t>
  </si>
  <si>
    <t>Net equity</t>
  </si>
  <si>
    <t>👨‍👩‍👦  FAMILY OBLIGATIONS TRACKER</t>
  </si>
  <si>
    <t>Mutual Funds</t>
  </si>
  <si>
    <t>Growth engine</t>
  </si>
  <si>
    <t>Consolidate 22→5</t>
  </si>
  <si>
    <t>Brother's House Down Payment</t>
  </si>
  <si>
    <t>⏳ Pending</t>
  </si>
  <si>
    <t>PPF</t>
  </si>
  <si>
    <t>⚠️ Check NRI status</t>
  </si>
  <si>
    <t>May need to freeze</t>
  </si>
  <si>
    <t>⚠️ Action needed</t>
  </si>
  <si>
    <t>Father's Village House</t>
  </si>
  <si>
    <t>NPS Tier 1</t>
  </si>
  <si>
    <t>Locked till 60</t>
  </si>
  <si>
    <t>Review: continue or stop?</t>
  </si>
  <si>
    <t>TOTAL OBLIGATION</t>
  </si>
  <si>
    <t>🚨 Set aside NOW</t>
  </si>
  <si>
    <t>Emergency FD</t>
  </si>
  <si>
    <t>Too low</t>
  </si>
  <si>
    <t>Target ₹3L</t>
  </si>
  <si>
    <t>✅ OK</t>
  </si>
  <si>
    <t>Family Obligation – Brother</t>
  </si>
  <si>
    <t>-'⚙️ Assumptions'!C10</t>
  </si>
  <si>
    <t>Reserved outflow</t>
  </si>
  <si>
    <t>Pay ~'⚙️ Assumptions'!C12</t>
  </si>
  <si>
    <t>Family Obligation – Father</t>
  </si>
  <si>
    <t>-'⚙️ Assumptions'!C11</t>
  </si>
  <si>
    <t>Pay ~'⚙️ Assumptions'!C13</t>
  </si>
  <si>
    <t>🏆  NET WORTH (excl. family obligations)</t>
  </si>
  <si>
    <t>₹20L family obligations are tracked above separately</t>
  </si>
  <si>
    <t>💸  MONTHLY CASH FLOW</t>
  </si>
  <si>
    <t>INCOME</t>
  </si>
  <si>
    <t>₹/month</t>
  </si>
  <si>
    <t>EXPENSES</t>
  </si>
  <si>
    <t>Status</t>
  </si>
  <si>
    <t>Bangkok Salary (in-hand)</t>
  </si>
  <si>
    <t>Total India Expenses</t>
  </si>
  <si>
    <t>Rental Income (from Jan 2027)</t>
  </si>
  <si>
    <t>Total Bangkok Expenses</t>
  </si>
  <si>
    <t>SIPs &amp; Investments</t>
  </si>
  <si>
    <t>🟢  NET MONTHLY SURPLUS (before SIPs)</t>
  </si>
  <si>
    <t>⚡ All values auto-pull from ⚙️ Assumptions sheet  |  Blue = inputs  |  Update Assumptions → this dashboard updates automatically</t>
  </si>
  <si>
    <t>📅  YEAR-ON-YEAR FINANCIAL ROADMAP  |  Age 32→50  |  All assumptions drive from ⚙️ Assumptions sheet</t>
  </si>
  <si>
    <t>⚙️  KEY ASSUMPTIONS (edit in Assumptions sheet → all rows update)</t>
  </si>
  <si>
    <t>Inflation</t>
  </si>
  <si>
    <t>MF CAGR</t>
  </si>
  <si>
    <t>RE Appreciation</t>
  </si>
  <si>
    <t>SIP Step-up</t>
  </si>
  <si>
    <t>Salary Growth (Bangkok)</t>
  </si>
  <si>
    <t>Salary Growth (India)</t>
  </si>
  <si>
    <t>Year</t>
  </si>
  <si>
    <t>Age</t>
  </si>
  <si>
    <t>Life Phase &amp; Events</t>
  </si>
  <si>
    <t>Gross Income (₹/yr)</t>
  </si>
  <si>
    <t>Expenses (₹/yr)</t>
  </si>
  <si>
    <t>Net Surplus (₹/yr)</t>
  </si>
  <si>
    <t>Monthly SIP (₹)</t>
  </si>
  <si>
    <t>MF Corpus (₹)</t>
  </si>
  <si>
    <t>RE Value (₹)</t>
  </si>
  <si>
    <t>Home Loan (₹)</t>
  </si>
  <si>
    <t>Net Worth (₹)</t>
  </si>
  <si>
    <t>FI Progress %</t>
  </si>
  <si>
    <t>2026</t>
  </si>
  <si>
    <t>🌏 Bangkok | PPF Review | MF Consolidation Start</t>
  </si>
  <si>
    <t>2027</t>
  </si>
  <si>
    <t>👶 Baby Arrives | Rental ₹38K starts | SIP Step-up</t>
  </si>
  <si>
    <t>2028</t>
  </si>
  <si>
    <t>📈 SIP Boost | Brother obligation ₹10L | Prepayments</t>
  </si>
  <si>
    <t>2029</t>
  </si>
  <si>
    <t>🏠 India Return Planning | Senior PM roles | Last Bangkok year</t>
  </si>
  <si>
    <t>2030</t>
  </si>
  <si>
    <t>🇮🇳 Back to India | ₹35L+ salary | Father obligation ₹10L</t>
  </si>
  <si>
    <t>2031</t>
  </si>
  <si>
    <t>📊 India Growth Phase | Home loan aggressive prepay</t>
  </si>
  <si>
    <t>2032</t>
  </si>
  <si>
    <t>🏡 Property Decision: hold/sell Mumbai flat?</t>
  </si>
  <si>
    <t>2033</t>
  </si>
  <si>
    <t>🎓 Child Education Fund | SIP ₹1.5L+/month</t>
  </si>
  <si>
    <t>2034</t>
  </si>
  <si>
    <t>📈 Debt reducing fast | MF ₹40L+ milestone</t>
  </si>
  <si>
    <t>2035</t>
  </si>
  <si>
    <t>🏦 Home Loan Near Closure | Debt-free horizon visible</t>
  </si>
  <si>
    <t>2036</t>
  </si>
  <si>
    <t>🚀 Debt Free! | SIP Maximised | Pure accumulation</t>
  </si>
  <si>
    <t>2037</t>
  </si>
  <si>
    <t>💼 Career Peak | ₹60L+ income | Wealth compounding</t>
  </si>
  <si>
    <t>2038</t>
  </si>
  <si>
    <t>📊 MF ₹1Cr+ milestone | RE fully appreciated</t>
  </si>
  <si>
    <t>2039</t>
  </si>
  <si>
    <t>🎓 Child college fund mature | Partial withdrawal</t>
  </si>
  <si>
    <t>2040</t>
  </si>
  <si>
    <t>⚡ Power Accumulation | NW ₹3Cr+ zone</t>
  </si>
  <si>
    <t>2041</t>
  </si>
  <si>
    <t>🔒 Pre-FI | Shift 20% equity→debt | Consolidate</t>
  </si>
  <si>
    <t>2042</t>
  </si>
  <si>
    <t>🔒 Final push | NW ₹5Cr+ | Retirement planning</t>
  </si>
  <si>
    <t>2043</t>
  </si>
  <si>
    <t>🎯 FINANCIAL INDEPENDENCE @ AGE 50! ₹6Cr+ Corpus</t>
  </si>
  <si>
    <t>2026-29: Foundation</t>
  </si>
  <si>
    <t>2030-34: Growth</t>
  </si>
  <si>
    <t>2035-39: Acceleration</t>
  </si>
  <si>
    <t>2040-43: Pre-FI</t>
  </si>
  <si>
    <t>2043: FI ACHIEVED! 🎯</t>
  </si>
  <si>
    <t>📈  MUTUAL FUND PORTFOLIO TRACKER  |  22 → 5 Fund Consolidation Plan</t>
  </si>
  <si>
    <t>Fund Name</t>
  </si>
  <si>
    <t>Category</t>
  </si>
  <si>
    <t>Invested (₹)</t>
  </si>
  <si>
    <t>Current (₹)</t>
  </si>
  <si>
    <t>Gain/Loss (₹)</t>
  </si>
  <si>
    <t>XIRR %</t>
  </si>
  <si>
    <t>SIP/month (₹)</t>
  </si>
  <si>
    <t>✅  KEEP — TARGET 5-FUND PORTFOLIO</t>
  </si>
  <si>
    <t>Parag Parikh Flexi Cap</t>
  </si>
  <si>
    <t>Flexi Cap — CORE</t>
  </si>
  <si>
    <t>ICICI Pru Bluechip</t>
  </si>
  <si>
    <t>Large Cap — STABLE</t>
  </si>
  <si>
    <t>HDFC Mid Cap Opp</t>
  </si>
  <si>
    <t>Mid Cap — GROWTH</t>
  </si>
  <si>
    <t>Kotak Small Cap</t>
  </si>
  <si>
    <t>Small Cap — HIGH GROWTH</t>
  </si>
  <si>
    <t>Parag Parikh Liquid</t>
  </si>
  <si>
    <t>Liquid — PARKING/EMERGENCY</t>
  </si>
  <si>
    <t>✅ KEEP TOTAL</t>
  </si>
  <si>
    <t>❌  EXIT — 17 FUNDS TO REDEEM (Fill in your details — Blue = enter values)</t>
  </si>
  <si>
    <t>Fund 1 — Enter Fund Name</t>
  </si>
  <si>
    <t>(Enter Category)</t>
  </si>
  <si>
    <t>Fund 2 — Enter Fund Name</t>
  </si>
  <si>
    <t>Fund 3 — Enter Fund Name</t>
  </si>
  <si>
    <t>Fund 4 — Enter Fund Name</t>
  </si>
  <si>
    <t>Fund 5 — Enter Fund Name</t>
  </si>
  <si>
    <t>Fund 6 — Enter Fund Name</t>
  </si>
  <si>
    <t>Fund 7 — Enter Fund Name</t>
  </si>
  <si>
    <t>Fund 8 — Enter Fund Name</t>
  </si>
  <si>
    <t>Fund 9 — Enter Fund Name</t>
  </si>
  <si>
    <t>Fund 10 — Enter Fund Name</t>
  </si>
  <si>
    <t>Fund 11 — Enter Fund Name</t>
  </si>
  <si>
    <t>Fund 12 — Enter Fund Name</t>
  </si>
  <si>
    <t>Fund 13 — Enter Fund Name</t>
  </si>
  <si>
    <t>Fund 14 — Enter Fund Name</t>
  </si>
  <si>
    <t>Fund 15 — Enter Fund Name</t>
  </si>
  <si>
    <t>Fund 16 — Enter Fund Name</t>
  </si>
  <si>
    <t>Fund 17 — Enter Fund Name</t>
  </si>
  <si>
    <t>❌ EXIT TOTAL</t>
  </si>
  <si>
    <t>🏆 GRAND TOTAL</t>
  </si>
  <si>
    <t>🗓️  DETAILED MONTHLY FINANCIAL TRACKER  |  FY 2026-27  |  Blue = enter actuals each month</t>
  </si>
  <si>
    <t>Sec</t>
  </si>
  <si>
    <t>Line Item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</si>
  <si>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</si>
  <si>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</si>
  <si>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</si>
  <si>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</si>
  <si>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</si>
  <si>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</si>
  <si>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</si>
  <si>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</si>
  <si>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</si>
  <si>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</si>
  <si>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</si>
  <si>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</si>
  <si>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TOTAL</t>
  </si>
  <si>
    <t>✅ Apr-26
Paid?</t>
  </si>
  <si>
    <t xml:space="preserve">  💰  INCOME</t>
  </si>
  <si>
    <t>💰</t>
  </si>
  <si>
    <t>Rental Income</t>
  </si>
  <si>
    <t>⏳</t>
  </si>
  <si>
    <t>Bangkok → India Transfer (THB)</t>
  </si>
  <si>
    <t>Exchange Rate (1 THB = ? INR)</t>
  </si>
  <si>
    <t>Update monthly</t>
  </si>
  <si>
    <t>Transfer Value in ₹ (auto-calc)</t>
  </si>
  <si>
    <t>Other / Bonus</t>
  </si>
  <si>
    <t>TOTAL INCOME</t>
  </si>
  <si>
    <t xml:space="preserve">  🇮🇳  INDIA EXPENSES</t>
  </si>
  <si>
    <t>🇮🇳</t>
  </si>
  <si>
    <t>Home Loan EMI</t>
  </si>
  <si>
    <t>Maintenance (Society)</t>
  </si>
  <si>
    <t>Term Insurance – Vivek (ICICI)</t>
  </si>
  <si>
    <t>Term Insurance – Wife (ICICI)</t>
  </si>
  <si>
    <t>Health Insurance (Family)</t>
  </si>
  <si>
    <t>Additional</t>
  </si>
  <si>
    <t>Light Bill / Gas / Utilities</t>
  </si>
  <si>
    <t>Tatya (Grandpa Support)</t>
  </si>
  <si>
    <t>iCloud Subscription</t>
  </si>
  <si>
    <t xml:space="preserve">Miscellaneous </t>
  </si>
  <si>
    <t>Parents' Health Insurance</t>
  </si>
  <si>
    <t>Credit Card Bill (India)</t>
  </si>
  <si>
    <t>TOTAL INDIA EXPENSES</t>
  </si>
  <si>
    <t xml:space="preserve">  🇹🇭  BANGKOK EXPENSES</t>
  </si>
  <si>
    <t>🇹🇭</t>
  </si>
  <si>
    <t>Rent</t>
  </si>
  <si>
    <t>Electricity Bill</t>
  </si>
  <si>
    <t>Water Bill</t>
  </si>
  <si>
    <t>WiFi</t>
  </si>
  <si>
    <t>Mobile Recharge</t>
  </si>
  <si>
    <t>Grocery</t>
  </si>
  <si>
    <t>Maid</t>
  </si>
  <si>
    <t>Gym</t>
  </si>
  <si>
    <t>iPhone EMI</t>
  </si>
  <si>
    <t>Misc / Outings</t>
  </si>
  <si>
    <t>TOTAL BANGKOK EXPENSES</t>
  </si>
  <si>
    <t xml:space="preserve">  💎  SAVINGS &amp; INVESTMENTS</t>
  </si>
  <si>
    <t>💎</t>
  </si>
  <si>
    <t>PP Flexi Cap SIP</t>
  </si>
  <si>
    <t>HDFC Mid Cap SIP</t>
  </si>
  <si>
    <t>PP Liquid SIP</t>
  </si>
  <si>
    <t>Additional / Ad-hoc Invest</t>
  </si>
  <si>
    <t>TOTAL SAVINGS &amp; INVESTMENTS</t>
  </si>
  <si>
    <t xml:space="preserve">  👨‍👩‍👦  FAMILY OBLIGATIONS</t>
  </si>
  <si>
    <t>👨‍👩‍👦</t>
  </si>
  <si>
    <t>Brother Down Payment Reserve</t>
  </si>
  <si>
    <t>TOTAL FAMILY OBLIGATIONS</t>
  </si>
  <si>
    <t xml:space="preserve">  📊  MONTHLY SUMMARY</t>
  </si>
  <si>
    <t>Total Income</t>
  </si>
  <si>
    <t>Total Investments/SIPs</t>
  </si>
  <si>
    <t>Family Obligation Saved</t>
  </si>
  <si>
    <t>NET CASH SURPLUS</t>
  </si>
  <si>
    <t>💡  STATUS GUIDE: ⏳ = Pending / ✅ = Paid / ❌ = Missed / 🔄 = Auto-debit  |  Column Q tracks April status; duplicate for each month as needed</t>
  </si>
  <si>
    <t>🏠  HOME LOAN MONTHLY AMORTIZATION TRACKER  |  SBI  |  ₹68,60,594 Outstanding  |  7.30% PA  |  ₹57,328 EMI</t>
  </si>
  <si>
    <t>📌  LOAN FACTS  (hardcoded from your SBI statement)</t>
  </si>
  <si>
    <t>Sanctioned Amount</t>
  </si>
  <si>
    <t>Jan 2021 — SBI</t>
  </si>
  <si>
    <t>Outstanding Balance (Apr 2026)</t>
  </si>
  <si>
    <t>Exact from statement</t>
  </si>
  <si>
    <t>Principal Repaid so far</t>
  </si>
  <si>
    <t>₹74,22,750 − ₹68,60,594</t>
  </si>
  <si>
    <t>% Repaid</t>
  </si>
  <si>
    <t>Only 7.6% paid in 5 yrs — floating rate effect</t>
  </si>
  <si>
    <t>Current Interest Rate</t>
  </si>
  <si>
    <t>7.30% PA (SBI floating — update if changed)</t>
  </si>
  <si>
    <t>Monthly EMI</t>
  </si>
  <si>
    <t>Debited on 15th of every month</t>
  </si>
  <si>
    <t>Remaining Tenure</t>
  </si>
  <si>
    <t>Months (as of Apr 2026)</t>
  </si>
  <si>
    <t>Loan Start Date</t>
  </si>
  <si>
    <t>Jan-2021</t>
  </si>
  <si>
    <t>Original disbursement</t>
  </si>
  <si>
    <t>Estimated Closure (no prepay)</t>
  </si>
  <si>
    <t>Formula links to amortization count below</t>
  </si>
  <si>
    <t>⚠️  WHY DO YOU HAVE 269 MONTHS LEFT AFTER 5 YEARS? — Diagnosis &amp; What To Do</t>
  </si>
  <si>
    <t xml:space="preserve">  THE PROBLEM</t>
  </si>
  <si>
    <t xml:space="preserve">   Your loan started in Jan 2021 at ₹74.23L for 240 months (20 years). After 63 EMIs paid, you've only repaid ₹5.62L principal — just 7.6%. On a normal reducing-balance loan you should have paid ~₹12-15L principal by now. The gap is because SBI's floating rate kept RISING (from ~7% in 2021 to 9.45% at peak). When rates rose, your EMI stayed SAME but more of it went to interest, so principal barely moved. This is called 'negative amortization pressure' and it EXTENDS your tenure.</t>
  </si>
  <si>
    <t xml:space="preserve">  WHAT EXACTLY HAPPENED</t>
  </si>
  <si>
    <t xml:space="preserve">   Jan 2021: Rate ~7.0% → Monthly Interest on ₹74.23L = ₹43,303 → Principal paid per EMI = ₹14,025</t>
  </si>
  <si>
    <t xml:space="preserve">   Rate rose to 9.45% peak → Monthly Interest = ₹58,730 on same balance → Your EMI ₹57,328 &lt; Interest! → Principal = NEGATIVE → Bank ADDED to your outstanding balance</t>
  </si>
  <si>
    <t xml:space="preserve">   This is why after 5 years, 269 months still remain instead of ~177 months</t>
  </si>
  <si>
    <t xml:space="preserve">   Now at 7.30%: Interest = ₹41,768 on ₹68.6L → Principal per EMI = ₹15,560 → Tenure reducing again ✅</t>
  </si>
  <si>
    <t xml:space="preserve">  YOUR 3 OPTIONS — What Should You Do?</t>
  </si>
  <si>
    <t xml:space="preserve">   OPTION 1 ✅ RECOMMENDED: Keep EMI, add ₹10K-20K prepayment monthly → closes ~8-10 years early → saves ₹30-40L interest</t>
  </si>
  <si>
    <t xml:space="preserve">   OPTION 2: Ask SBI to RESET TENURE to original 240 months → Bank will INCREASE your EMI to ~₹62,000 → Higher monthly cash outflow but loan ends on original 2041 schedule</t>
  </si>
  <si>
    <t xml:space="preserve">   OPTION 3: Do nothing, continue ₹57,328 EMI → Loan closes ~2048 (269 months from now) → You pay ~₹1.53 Crore total vs ₹74L borrowed → Extra ₹79L in interest</t>
  </si>
  <si>
    <t xml:space="preserve">  HOW TO USE PREPAYMENT IN THIS TRACKER</t>
  </si>
  <si>
    <t xml:space="preserve">   In the amortization table below → Column H (Extra Prepayment) → Type any amount in any month → All rows below auto-recalculate → Closure date updates automatically</t>
  </si>
  <si>
    <t xml:space="preserve">   Even ₹10,000/month prepayment from Jan 2027 (when rental income starts) saves ~₹30L+ and closes loan ~8 years early</t>
  </si>
  <si>
    <t>📊  MONTHLY AMORTIZATION  |  Column H = Enter your prepayment → everything updates automatically</t>
  </si>
  <si>
    <t>#</t>
  </si>
  <si>
    <t>Due Date</t>
  </si>
  <si>
    <t>Opening
Balance (₹)</t>
  </si>
  <si>
    <t>EMI
(₹57,328)</t>
  </si>
  <si>
    <t>Interest
Charged (₹)</t>
  </si>
  <si>
    <t>Principal
Repaid (₹)</t>
  </si>
  <si>
    <t>🔵 Extra
Prepayment (₹)
ENTER HERE</t>
  </si>
  <si>
    <t>Closing
Balance (₹)</t>
  </si>
  <si>
    <t>📌 Status
(Paid/Pending)</t>
  </si>
  <si>
    <t>15-Apr-2026</t>
  </si>
  <si>
    <t>✅ Paid</t>
  </si>
  <si>
    <t>15-May-2026</t>
  </si>
  <si>
    <t>15-Jun-2026</t>
  </si>
  <si>
    <t>15-Jul-2026</t>
  </si>
  <si>
    <t>15-Aug-2026</t>
  </si>
  <si>
    <t>15-Sep-2026</t>
  </si>
  <si>
    <t>15-Oct-2026</t>
  </si>
  <si>
    <t>15-Nov-2026</t>
  </si>
  <si>
    <t>15-Dec-2026</t>
  </si>
  <si>
    <t>15-Jan-2027</t>
  </si>
  <si>
    <t>15-Feb-2027</t>
  </si>
  <si>
    <t>15-Mar-2027</t>
  </si>
  <si>
    <t>15-Apr-2027</t>
  </si>
  <si>
    <t>15-May-2027</t>
  </si>
  <si>
    <t>15-Jun-2027</t>
  </si>
  <si>
    <t>15-Jul-2027</t>
  </si>
  <si>
    <t>15-Aug-2027</t>
  </si>
  <si>
    <t>15-Sep-2027</t>
  </si>
  <si>
    <t>15-Oct-2027</t>
  </si>
  <si>
    <t>15-Nov-2027</t>
  </si>
  <si>
    <t>15-Dec-2027</t>
  </si>
  <si>
    <t>15-Jan-2028</t>
  </si>
  <si>
    <t>15-Feb-2028</t>
  </si>
  <si>
    <t>15-Mar-2028</t>
  </si>
  <si>
    <t>15-Apr-2028</t>
  </si>
  <si>
    <t>15-May-2028</t>
  </si>
  <si>
    <t>15-Jun-2028</t>
  </si>
  <si>
    <t>15-Jul-2028</t>
  </si>
  <si>
    <t>15-Aug-2028</t>
  </si>
  <si>
    <t>15-Sep-2028</t>
  </si>
  <si>
    <t>15-Oct-2028</t>
  </si>
  <si>
    <t>15-Nov-2028</t>
  </si>
  <si>
    <t>15-Dec-2028</t>
  </si>
  <si>
    <t>15-Jan-2029</t>
  </si>
  <si>
    <t>15-Feb-2029</t>
  </si>
  <si>
    <t>15-Mar-2029</t>
  </si>
  <si>
    <t>15-Apr-2029</t>
  </si>
  <si>
    <t>15-May-2029</t>
  </si>
  <si>
    <t>15-Jun-2029</t>
  </si>
  <si>
    <t>15-Jul-2029</t>
  </si>
  <si>
    <t>15-Aug-2029</t>
  </si>
  <si>
    <t>15-Sep-2029</t>
  </si>
  <si>
    <t>15-Oct-2029</t>
  </si>
  <si>
    <t>15-Nov-2029</t>
  </si>
  <si>
    <t>15-Dec-2029</t>
  </si>
  <si>
    <t>15-Jan-2030</t>
  </si>
  <si>
    <t>15-Feb-2030</t>
  </si>
  <si>
    <t>15-Mar-2030</t>
  </si>
  <si>
    <t>15-Apr-2030</t>
  </si>
  <si>
    <t>15-May-2030</t>
  </si>
  <si>
    <t>15-Jun-2030</t>
  </si>
  <si>
    <t>15-Jul-2030</t>
  </si>
  <si>
    <t>15-Aug-2030</t>
  </si>
  <si>
    <t>15-Sep-2030</t>
  </si>
  <si>
    <t>15-Oct-2030</t>
  </si>
  <si>
    <t>15-Nov-2030</t>
  </si>
  <si>
    <t>15-Dec-2030</t>
  </si>
  <si>
    <t>15-Jan-2031</t>
  </si>
  <si>
    <t>15-Feb-2031</t>
  </si>
  <si>
    <t>15-Mar-2031</t>
  </si>
  <si>
    <t>15-Apr-2031</t>
  </si>
  <si>
    <t>15-May-2031</t>
  </si>
  <si>
    <t>15-Jun-2031</t>
  </si>
  <si>
    <t>15-Jul-2031</t>
  </si>
  <si>
    <t>15-Aug-2031</t>
  </si>
  <si>
    <t>15-Sep-2031</t>
  </si>
  <si>
    <t>15-Oct-2031</t>
  </si>
  <si>
    <t>15-Nov-2031</t>
  </si>
  <si>
    <t>15-Dec-2031</t>
  </si>
  <si>
    <t>15-Jan-2032</t>
  </si>
  <si>
    <t>15-Feb-2032</t>
  </si>
  <si>
    <t>15-Mar-2032</t>
  </si>
  <si>
    <t>15-Apr-2032</t>
  </si>
  <si>
    <t>15-May-2032</t>
  </si>
  <si>
    <t>15-Jun-2032</t>
  </si>
  <si>
    <t>15-Jul-2032</t>
  </si>
  <si>
    <t>15-Aug-2032</t>
  </si>
  <si>
    <t>15-Sep-2032</t>
  </si>
  <si>
    <t>15-Oct-2032</t>
  </si>
  <si>
    <t>15-Nov-2032</t>
  </si>
  <si>
    <t>15-Dec-2032</t>
  </si>
  <si>
    <t>15-Jan-2033</t>
  </si>
  <si>
    <t>15-Feb-2033</t>
  </si>
  <si>
    <t>15-Mar-2033</t>
  </si>
  <si>
    <t>15-Apr-2033</t>
  </si>
  <si>
    <t>15-May-2033</t>
  </si>
  <si>
    <t>15-Jun-2033</t>
  </si>
  <si>
    <t>15-Jul-2033</t>
  </si>
  <si>
    <t>15-Aug-2033</t>
  </si>
  <si>
    <t>15-Sep-2033</t>
  </si>
  <si>
    <t>15-Oct-2033</t>
  </si>
  <si>
    <t>15-Nov-2033</t>
  </si>
  <si>
    <t>15-Dec-2033</t>
  </si>
  <si>
    <t>15-Jan-2034</t>
  </si>
  <si>
    <t>15-Feb-2034</t>
  </si>
  <si>
    <t>15-Mar-2034</t>
  </si>
  <si>
    <t>15-Apr-2034</t>
  </si>
  <si>
    <t>15-May-2034</t>
  </si>
  <si>
    <t>15-Jun-2034</t>
  </si>
  <si>
    <t>15-Jul-2034</t>
  </si>
  <si>
    <t>15-Aug-2034</t>
  </si>
  <si>
    <t>15-Sep-2034</t>
  </si>
  <si>
    <t>15-Oct-2034</t>
  </si>
  <si>
    <t>15-Nov-2034</t>
  </si>
  <si>
    <t>15-Dec-2034</t>
  </si>
  <si>
    <t>15-Jan-2035</t>
  </si>
  <si>
    <t>15-Feb-2035</t>
  </si>
  <si>
    <t>15-Mar-2035</t>
  </si>
  <si>
    <t>15-Apr-2035</t>
  </si>
  <si>
    <t>15-May-2035</t>
  </si>
  <si>
    <t>15-Jun-2035</t>
  </si>
  <si>
    <t>15-Jul-2035</t>
  </si>
  <si>
    <t>15-Aug-2035</t>
  </si>
  <si>
    <t>15-Sep-2035</t>
  </si>
  <si>
    <t>15-Oct-2035</t>
  </si>
  <si>
    <t>15-Nov-2035</t>
  </si>
  <si>
    <t>15-Dec-2035</t>
  </si>
  <si>
    <t>15-Jan-2036</t>
  </si>
  <si>
    <t>15-Feb-2036</t>
  </si>
  <si>
    <t>15-Mar-2036</t>
  </si>
  <si>
    <t>15-Apr-2036</t>
  </si>
  <si>
    <t>15-May-2036</t>
  </si>
  <si>
    <t>15-Jun-2036</t>
  </si>
  <si>
    <t>15-Jul-2036</t>
  </si>
  <si>
    <t>15-Aug-2036</t>
  </si>
  <si>
    <t>15-Sep-2036</t>
  </si>
  <si>
    <t>15-Oct-2036</t>
  </si>
  <si>
    <t>15-Nov-2036</t>
  </si>
  <si>
    <t>15-Dec-2036</t>
  </si>
  <si>
    <t>15-Jan-2037</t>
  </si>
  <si>
    <t>15-Feb-2037</t>
  </si>
  <si>
    <t>15-Mar-2037</t>
  </si>
  <si>
    <t>15-Apr-2037</t>
  </si>
  <si>
    <t>15-May-2037</t>
  </si>
  <si>
    <t>15-Jun-2037</t>
  </si>
  <si>
    <t>15-Jul-2037</t>
  </si>
  <si>
    <t>15-Aug-2037</t>
  </si>
  <si>
    <t>15-Sep-2037</t>
  </si>
  <si>
    <t>15-Oct-2037</t>
  </si>
  <si>
    <t>15-Nov-2037</t>
  </si>
  <si>
    <t>15-Dec-2037</t>
  </si>
  <si>
    <t>15-Jan-2038</t>
  </si>
  <si>
    <t>15-Feb-2038</t>
  </si>
  <si>
    <t>15-Mar-2038</t>
  </si>
  <si>
    <t>15-Apr-2038</t>
  </si>
  <si>
    <t>15-May-2038</t>
  </si>
  <si>
    <t>15-Jun-2038</t>
  </si>
  <si>
    <t>15-Jul-2038</t>
  </si>
  <si>
    <t>15-Aug-2038</t>
  </si>
  <si>
    <t>15-Sep-2038</t>
  </si>
  <si>
    <t>15-Oct-2038</t>
  </si>
  <si>
    <t>15-Nov-2038</t>
  </si>
  <si>
    <t>15-Dec-2038</t>
  </si>
  <si>
    <t>15-Jan-2039</t>
  </si>
  <si>
    <t>15-Feb-2039</t>
  </si>
  <si>
    <t>15-Mar-2039</t>
  </si>
  <si>
    <t>15-Apr-2039</t>
  </si>
  <si>
    <t>15-May-2039</t>
  </si>
  <si>
    <t>15-Jun-2039</t>
  </si>
  <si>
    <t>15-Jul-2039</t>
  </si>
  <si>
    <t>15-Aug-2039</t>
  </si>
  <si>
    <t>15-Sep-2039</t>
  </si>
  <si>
    <t>15-Oct-2039</t>
  </si>
  <si>
    <t>15-Nov-2039</t>
  </si>
  <si>
    <t>15-Dec-2039</t>
  </si>
  <si>
    <t>15-Jan-2040</t>
  </si>
  <si>
    <t>15-Feb-2040</t>
  </si>
  <si>
    <t>15-Mar-2040</t>
  </si>
  <si>
    <t>15-Apr-2040</t>
  </si>
  <si>
    <t>15-May-2040</t>
  </si>
  <si>
    <t>15-Jun-2040</t>
  </si>
  <si>
    <t>15-Jul-2040</t>
  </si>
  <si>
    <t>15-Aug-2040</t>
  </si>
  <si>
    <t>15-Sep-2040</t>
  </si>
  <si>
    <t>15-Oct-2040</t>
  </si>
  <si>
    <t>15-Nov-2040</t>
  </si>
  <si>
    <t>15-Dec-2040</t>
  </si>
  <si>
    <t>15-Jan-2041</t>
  </si>
  <si>
    <t>15-Feb-2041</t>
  </si>
  <si>
    <t>15-Mar-2041</t>
  </si>
  <si>
    <t>15-Apr-2041</t>
  </si>
  <si>
    <t>15-May-2041</t>
  </si>
  <si>
    <t>15-Jun-2041</t>
  </si>
  <si>
    <t>15-Jul-2041</t>
  </si>
  <si>
    <t>15-Aug-2041</t>
  </si>
  <si>
    <t>15-Sep-2041</t>
  </si>
  <si>
    <t>15-Oct-2041</t>
  </si>
  <si>
    <t>15-Nov-2041</t>
  </si>
  <si>
    <t>15-Dec-2041</t>
  </si>
  <si>
    <t>15-Jan-2042</t>
  </si>
  <si>
    <t>15-Feb-2042</t>
  </si>
  <si>
    <t>15-Mar-2042</t>
  </si>
  <si>
    <t>15-Apr-2042</t>
  </si>
  <si>
    <t>15-May-2042</t>
  </si>
  <si>
    <t>15-Jun-2042</t>
  </si>
  <si>
    <t>15-Jul-2042</t>
  </si>
  <si>
    <t>15-Aug-2042</t>
  </si>
  <si>
    <t>15-Sep-2042</t>
  </si>
  <si>
    <t>15-Oct-2042</t>
  </si>
  <si>
    <t>15-Nov-2042</t>
  </si>
  <si>
    <t>15-Dec-2042</t>
  </si>
  <si>
    <t>15-Jan-2043</t>
  </si>
  <si>
    <t>15-Feb-2043</t>
  </si>
  <si>
    <t>15-Mar-2043</t>
  </si>
  <si>
    <t>15-Apr-2043</t>
  </si>
  <si>
    <t>15-May-2043</t>
  </si>
  <si>
    <t>15-Jun-2043</t>
  </si>
  <si>
    <t>15-Jul-2043</t>
  </si>
  <si>
    <t>15-Aug-2043</t>
  </si>
  <si>
    <t>15-Sep-2043</t>
  </si>
  <si>
    <t>15-Oct-2043</t>
  </si>
  <si>
    <t>15-Nov-2043</t>
  </si>
  <si>
    <t>15-Dec-2043</t>
  </si>
  <si>
    <t>15-Jan-2044</t>
  </si>
  <si>
    <t>15-Feb-2044</t>
  </si>
  <si>
    <t>15-Mar-2044</t>
  </si>
  <si>
    <t>15-Apr-2044</t>
  </si>
  <si>
    <t>15-May-2044</t>
  </si>
  <si>
    <t>15-Jun-2044</t>
  </si>
  <si>
    <t>15-Jul-2044</t>
  </si>
  <si>
    <t>15-Aug-2044</t>
  </si>
  <si>
    <t>15-Sep-2044</t>
  </si>
  <si>
    <t>15-Oct-2044</t>
  </si>
  <si>
    <t>15-Nov-2044</t>
  </si>
  <si>
    <t>15-Dec-2044</t>
  </si>
  <si>
    <t>15-Jan-2045</t>
  </si>
  <si>
    <t>15-Feb-2045</t>
  </si>
  <si>
    <t>15-Mar-2045</t>
  </si>
  <si>
    <t>15-Apr-2045</t>
  </si>
  <si>
    <t>15-May-2045</t>
  </si>
  <si>
    <t>15-Jun-2045</t>
  </si>
  <si>
    <t>15-Jul-2045</t>
  </si>
  <si>
    <t>15-Aug-2045</t>
  </si>
  <si>
    <t>15-Sep-2045</t>
  </si>
  <si>
    <t>15-Oct-2045</t>
  </si>
  <si>
    <t>15-Nov-2045</t>
  </si>
  <si>
    <t>15-Dec-2045</t>
  </si>
  <si>
    <t>15-Jan-2046</t>
  </si>
  <si>
    <t>15-Feb-2046</t>
  </si>
  <si>
    <t>15-Mar-2046</t>
  </si>
  <si>
    <t>15-Apr-2046</t>
  </si>
  <si>
    <t>15-May-2046</t>
  </si>
  <si>
    <t>15-Jun-2046</t>
  </si>
  <si>
    <t>15-Jul-2046</t>
  </si>
  <si>
    <t>15-Aug-2046</t>
  </si>
  <si>
    <t>15-Sep-2046</t>
  </si>
  <si>
    <t>15-Oct-2046</t>
  </si>
  <si>
    <t>15-Nov-2046</t>
  </si>
  <si>
    <t>15-Dec-2046</t>
  </si>
  <si>
    <t>15-Jan-2047</t>
  </si>
  <si>
    <t>15-Feb-2047</t>
  </si>
  <si>
    <t>15-Mar-2047</t>
  </si>
  <si>
    <t>15-Apr-2047</t>
  </si>
  <si>
    <t>15-May-2047</t>
  </si>
  <si>
    <t>15-Jun-2047</t>
  </si>
  <si>
    <t>15-Jul-2047</t>
  </si>
  <si>
    <t>15-Aug-2047</t>
  </si>
  <si>
    <t>15-Sep-2047</t>
  </si>
  <si>
    <t>15-Oct-2047</t>
  </si>
  <si>
    <t>15-Nov-2047</t>
  </si>
  <si>
    <t>15-Dec-2047</t>
  </si>
  <si>
    <t>15-Jan-2048</t>
  </si>
  <si>
    <t>15-Feb-2048</t>
  </si>
  <si>
    <t>15-Mar-2048</t>
  </si>
  <si>
    <t>15-Apr-2048</t>
  </si>
  <si>
    <t>15-May-2048</t>
  </si>
  <si>
    <t>15-Jun-2048</t>
  </si>
  <si>
    <t>15-Jul-2048</t>
  </si>
  <si>
    <t>15-Aug-2048</t>
  </si>
  <si>
    <t>15-Sep-2048</t>
  </si>
  <si>
    <t>15-Oct-2048</t>
  </si>
  <si>
    <t>15-Nov-2048</t>
  </si>
  <si>
    <t>15-Dec-2048</t>
  </si>
  <si>
    <t>15-Jan-2049</t>
  </si>
  <si>
    <t>15-Feb-2049</t>
  </si>
  <si>
    <t>15-Mar-2049</t>
  </si>
  <si>
    <t>15-Apr-2049</t>
  </si>
  <si>
    <t>15-May-2049</t>
  </si>
  <si>
    <t>15-Jun-2049</t>
  </si>
  <si>
    <t>15-Jul-2049</t>
  </si>
  <si>
    <t>15-Aug-2049</t>
  </si>
  <si>
    <t>15-Sep-2049</t>
  </si>
  <si>
    <t>15-Oct-2049</t>
  </si>
  <si>
    <t>15-Nov-2049</t>
  </si>
  <si>
    <t>15-Dec-2049</t>
  </si>
  <si>
    <t>15-Jan-2050</t>
  </si>
  <si>
    <t>15-Feb-2050</t>
  </si>
  <si>
    <t>15-Mar-2050</t>
  </si>
  <si>
    <t>15-Apr-2050</t>
  </si>
  <si>
    <t>15-May-2050</t>
  </si>
  <si>
    <t>15-Jun-2050</t>
  </si>
  <si>
    <t>15-Jul-2050</t>
  </si>
  <si>
    <t>15-Aug-2050</t>
  </si>
  <si>
    <t>15-Sep-2050</t>
  </si>
  <si>
    <t>15-Oct-2050</t>
  </si>
  <si>
    <t>15-Nov-2050</t>
  </si>
  <si>
    <t>15-Dec-2050</t>
  </si>
  <si>
    <t>15-Jan-2051</t>
  </si>
  <si>
    <t>15-Feb-2051</t>
  </si>
  <si>
    <t>15-Mar-2051</t>
  </si>
  <si>
    <t>📊  RUNNING TOTALS (auto-updates as you add prepayments or mark payments)</t>
  </si>
  <si>
    <t>Total EMI Payments</t>
  </si>
  <si>
    <t>Total Interest Paid</t>
  </si>
  <si>
    <t>Total Principal Paid</t>
  </si>
  <si>
    <t>Total Extra Prepayments</t>
  </si>
  <si>
    <t>Months till closure</t>
  </si>
  <si>
    <t>Estimated closure date</t>
  </si>
  <si>
    <t>Payments marked ✅ Paid</t>
  </si>
  <si>
    <t>Payments ⏳ Pending</t>
  </si>
  <si>
    <t>💡  HOW TO USE THIS TRACKER</t>
  </si>
  <si>
    <t xml:space="preserve">   1. MARK PAYMENTS: After each 15th, go to Column J and change '⏳ Pending' → '✅ Paid' for that month</t>
  </si>
  <si>
    <t xml:space="preserve">   2. ADD PREPAYMENT: In Column H, type any extra amount (e.g. 10000) in any month → closure date and all balances update automatically</t>
  </si>
  <si>
    <t xml:space="preserve">   3. RATE CHANGE: If SBI changes your rate, update Cell C9 → entire schedule recalculates instantly</t>
  </si>
  <si>
    <t xml:space="preserve">   4. TRACK INTEREST SAVED: Compare 'Total Interest Paid' in summary below — lower is better with more prepayments</t>
  </si>
  <si>
    <t xml:space="preserve">   5. DASHBOARD LINK: The Wealth Dashboard pulls your current balance from Row 35 of this tracker</t>
  </si>
  <si>
    <t>✅  COMPREHENSIVE FINANCIAL PLANNING CHECKLIST  |  Vivek 2026-2043</t>
  </si>
  <si>
    <t>✓</t>
  </si>
  <si>
    <t>Action Item</t>
  </si>
  <si>
    <t>Priority</t>
  </si>
  <si>
    <t>Deadline</t>
  </si>
  <si>
    <t>Notes / Status</t>
  </si>
  <si>
    <t xml:space="preserve">  🚨 IMMEDIATE ACTIONS (Apr–Jun 2026)</t>
  </si>
  <si>
    <t>☐</t>
  </si>
  <si>
    <t>Call SBI: confirm PPF NRI legality → freeze if illegal</t>
  </si>
  <si>
    <t>🔴 CRITICAL</t>
  </si>
  <si>
    <t>May 2026</t>
  </si>
  <si>
    <t>May attract penalty if contributions made as NRI</t>
  </si>
  <si>
    <t>Reduce HDFC Liquid SIP: ₹15K → ₹10K</t>
  </si>
  <si>
    <t>April 2026</t>
  </si>
  <si>
    <t>Total SIP = ₹75K within surplus</t>
  </si>
  <si>
    <t>Stop SIPs in 17 non-target funds</t>
  </si>
  <si>
    <t>🔴 HIGH</t>
  </si>
  <si>
    <t>Keep only the 5 in MF tracker</t>
  </si>
  <si>
    <t>Begin redeeming exit MFs in tranches</t>
  </si>
  <si>
    <t>May-Aug 2026</t>
  </si>
  <si>
    <t>Manage STCG 15% + LTCG 10% above ₹1L</t>
  </si>
  <si>
    <t>Build Emergency Fund to ₹3L</t>
  </si>
  <si>
    <t>🟡 MEDIUM</t>
  </si>
  <si>
    <t>June 2026</t>
  </si>
  <si>
    <t>Currently ₹45K only</t>
  </si>
  <si>
    <t>Verify maternity hospital cashless coverage in Bangkok</t>
  </si>
  <si>
    <t>Check room rent limits, waiting period</t>
  </si>
  <si>
    <t>Update nominees: MFs, NPS, FDs, insurance</t>
  </si>
  <si>
    <t>Critical with baby on the way</t>
  </si>
  <si>
    <t xml:space="preserve">  🛡️ INSURANCE &amp; LEGAL (Jul–Sep 2026)</t>
  </si>
  <si>
    <t>Buy ₹1Cr additional term cover (total → ₹2Cr)</t>
  </si>
  <si>
    <t>July 2026</t>
  </si>
  <si>
    <t>~₹8-12K/yr at age 32</t>
  </si>
  <si>
    <t>Draft Will — flat + MFs + NPS</t>
  </si>
  <si>
    <t>₹3-5K one-time via lawyer</t>
  </si>
  <si>
    <t>Complete MF consolidation: 22 → 5 funds</t>
  </si>
  <si>
    <t>Aug 2026</t>
  </si>
  <si>
    <t>Park corpus in PP Liquid during transition</t>
  </si>
  <si>
    <t>Set aside tax on capital gains</t>
  </si>
  <si>
    <t>LTCG 10% above ₹1L; STCG 15%</t>
  </si>
  <si>
    <t>Check SBI home loan balance transfer (7.30% or lower)</t>
  </si>
  <si>
    <t>🟢 LOW</t>
  </si>
  <si>
    <t>Sep 2026</t>
  </si>
  <si>
    <t>Current 9.45% is high; negotiate or BT</t>
  </si>
  <si>
    <t xml:space="preserve">  🏠 RENTAL &amp; BABY (Oct–Dec 2026)</t>
  </si>
  <si>
    <t>Registered rental agreement for Mumbai flat</t>
  </si>
  <si>
    <t>Nov 2026</t>
  </si>
  <si>
    <t>11-month; police verification required</t>
  </si>
  <si>
    <t>Apply Form 13 for lower TDS on rental</t>
  </si>
  <si>
    <t>NRO rental TDS is 30%; apply to reduce</t>
  </si>
  <si>
    <t>Start Baby Fund SIP ₹10K/month</t>
  </si>
  <si>
    <t>PP Liquid or short-duration debt</t>
  </si>
  <si>
    <t>Confirm cashless maternity in Bangkok hospital</t>
  </si>
  <si>
    <t>Oct 2026</t>
  </si>
  <si>
    <t>3 months before expected delivery</t>
  </si>
  <si>
    <t xml:space="preserve">  👨‍👩‍👦 FAMILY OBLIGATIONS</t>
  </si>
  <si>
    <t>Start reserving for Brother's obligation (₹10L)</t>
  </si>
  <si>
    <t>Ongoing</t>
  </si>
  <si>
    <t>Target 2028; save ~₹4K/month in liquid</t>
  </si>
  <si>
    <t>Start reserving for Father's obligation (₹10L)</t>
  </si>
  <si>
    <t>Target 2030; save ~₹3K/month in liquid</t>
  </si>
  <si>
    <t>Keep ₹20L family obligation SEPARATE from FI corpus</t>
  </si>
  <si>
    <t>Immediately</t>
  </si>
  <si>
    <t>Do NOT count this in net worth for FI</t>
  </si>
  <si>
    <t xml:space="preserve">  📊 TAX &amp; COMPLIANCE</t>
  </si>
  <si>
    <t>File NRI ITR every year (rental + LTCG)</t>
  </si>
  <si>
    <t>July each year</t>
  </si>
  <si>
    <t>NRO interest + rental income taxable</t>
  </si>
  <si>
    <t>FEMA compliance for India↔Thailand transfers</t>
  </si>
  <si>
    <t>Use proper banking channels always</t>
  </si>
  <si>
    <t>Claim DTAA benefit (India-Thailand treaty)</t>
  </si>
  <si>
    <t>Annual</t>
  </si>
  <si>
    <t>Avoid double taxation on income</t>
  </si>
  <si>
    <t>NPS: decide continue/stop (see NPS Analysis sheet)</t>
  </si>
  <si>
    <t>Locked till 60; low flexibility</t>
  </si>
  <si>
    <t xml:space="preserve">  🎯 LONG-TERM MILESTONES</t>
  </si>
  <si>
    <t>Home loan prepayment ₹8K+/mo from Jan 2027</t>
  </si>
  <si>
    <t>Jan 2027</t>
  </si>
  <si>
    <t>Saves ₹8-10L total interest</t>
  </si>
  <si>
    <t>SIP step-up 10% each April</t>
  </si>
  <si>
    <t>April annually</t>
  </si>
  <si>
    <t>₹75K→₹82.5K→₹90.75K...</t>
  </si>
  <si>
    <t>Child education corpus ₹50L by child age 18</t>
  </si>
  <si>
    <t>2027-2045</t>
  </si>
  <si>
    <t>₹10K/month now; ₹50L+ in 18yrs @12%</t>
  </si>
  <si>
    <t>Shift MF: 60% equity → 40% debt by age 45</t>
  </si>
  <si>
    <t>~2038</t>
  </si>
  <si>
    <t>De-risk 5 yrs before FI</t>
  </si>
  <si>
    <t>Review FI number every 3 years for inflation</t>
  </si>
  <si>
    <t>Every 3 yrs</t>
  </si>
  <si>
    <t>₹6Cr today = ~₹10Cr in 2043</t>
  </si>
  <si>
    <t>FINANCIAL INDEPENDENCE at Age 50 (2043)</t>
  </si>
  <si>
    <t>🎯 DREAM</t>
  </si>
  <si>
    <t>₹6Cr corpus + ₹38K+ rental = FI</t>
  </si>
  <si>
    <t>💡  Change ☐ to ☑ as done  |  🔴 Critical = do this week  |  🟡 Medium = this quarter  |  🟢 Low = next 6 months</t>
  </si>
  <si>
    <t>🔒  NPS ANALYSIS  |  Should Vivek Continue or Stop?</t>
  </si>
  <si>
    <t xml:space="preserve">  WHAT IS NPS?</t>
  </si>
  <si>
    <t>NPS (National Pension System) is a government-backed retirement scheme. You contribute to Tier 1 (locked till age 60). At 60, you can withdraw 60% tax-free; the remaining 40% must be used to buy an annuity (monthly pension).</t>
  </si>
  <si>
    <t xml:space="preserve">  YOUR NPS SITUATION</t>
  </si>
  <si>
    <t>⚠️ KEY PROBLEM: You plan FI at 50, but NPS is locked till 60. You will have a 10-YEAR GAP where this money is inaccessible. During FI (50-60), you cannot use NPS.</t>
  </si>
  <si>
    <t xml:space="preserve">  ARGUMENTS FOR CONTINUING NPS</t>
  </si>
  <si>
    <t xml:space="preserve">   1. Tax Benefit: Extra ₹50K deduction under 80CCD(1B) saves ~₹15K/year tax</t>
  </si>
  <si>
    <t xml:space="preserve">   2. Forced savings: Completely locked — cannot be spent impulsively</t>
  </si>
  <si>
    <t xml:space="preserve">   3. Employer NPS: If your employer contributes, that's free money — always accept</t>
  </si>
  <si>
    <t xml:space="preserve">   4. ₹60K corpus will grow to ~₹10-15L by age 60 (at 9-10% CAGR) passively</t>
  </si>
  <si>
    <t xml:space="preserve">  ARGUMENTS AGAINST CONTINUING NPS</t>
  </si>
  <si>
    <t xml:space="preserve">   1. LOCKED TILL 60: If FI at 50, NPS money is USELESS for 10 years</t>
  </si>
  <si>
    <t xml:space="preserve">   2. 40% ANNUITY TRAP: You MUST buy annuity with 40% — annuity returns in India are 5-6%, worse than MFs</t>
  </si>
  <si>
    <t xml:space="preserve">   3. FLEXIBILITY: MFs give full access anytime; NPS gives zero access before 60</t>
  </si>
  <si>
    <t xml:space="preserve">   4. SAME TAX BENEFIT via ELSS: ELSS mutual funds also save Section 80C tax with 3-yr lock only</t>
  </si>
  <si>
    <t xml:space="preserve">   5. NRI STATUS: As an NRI, your India tax obligations are different — the 80CCD benefit may not apply fully</t>
  </si>
  <si>
    <t xml:space="preserve">  VIVEK'S VERDICT — WHAT TO DO</t>
  </si>
  <si>
    <t xml:space="preserve">   ✅ STOP new voluntary NPS contributions immediately</t>
  </si>
  <si>
    <t xml:space="preserve">   ✅ Let existing ₹60K corpus grow passively till age 60 (zero new money)</t>
  </si>
  <si>
    <t xml:space="preserve">   ✅ If employer offers NPS contribution → accept it (free money)</t>
  </si>
  <si>
    <t xml:space="preserve">   ✅ Redirect any NPS savings to MF SIPs (better flexibility, similar returns)</t>
  </si>
  <si>
    <t xml:space="preserve">   ✅ At age 60, withdraw 60% lump sum + use 40% annuity as pension supplement</t>
  </si>
  <si>
    <t xml:space="preserve">   ❌ DO NOT start new contributions just for ₹15K tax saving — you sacrifice liquidity</t>
  </si>
  <si>
    <t xml:space="preserve">  PROJECTION: ₹60K NPS corpus at age 60</t>
  </si>
  <si>
    <t xml:space="preserve">  BOTTOM LINE</t>
  </si>
  <si>
    <t>NPS ₹60K today → ~₹8-9L at 60. Not life-changing. Stop contributing. Let it compound. Focus your surplus on MFs which give you freedom at age 50, not 60.</t>
  </si>
  <si>
    <t>💎  SAVINGS DIVERSIFICATION GUIDE  |  Should You Invest Beyond MFs?</t>
  </si>
  <si>
    <t xml:space="preserve">  YOUR CURRENT PORTFOLIO CONCENTRATION</t>
  </si>
  <si>
    <t>You currently have ~95% of investable savings in Mutual Funds. The question is: is that too concentrated? Short answer: At your stage (32, early wealth-building), heavy MF concentration is FINE. But adding 1-2 asset classes STRATEGICALLY improves long-term risk-adjusted returns.</t>
  </si>
  <si>
    <t xml:space="preserve">  ASSET CLASS ANALYSIS</t>
  </si>
  <si>
    <t>🟡 GOLD — Recommended: 5-10% of portfolio</t>
  </si>
  <si>
    <t>WHY: Gold is negatively correlated with equities — when markets fall, gold usually rises. Acts as insurance. Also performs well during inflation and currency devaluation (important as an NRI with INR exposure).</t>
  </si>
  <si>
    <t>HOW: Sovereign Gold Bonds (SGBs) — best option. 2.5% annual interest + gold price appreciation + 0% tax if held to maturity (8 years). NOT physical gold, NOT gold ETF (lower tax efficiency). Invest ₹3-5K/month via SGB.</t>
  </si>
  <si>
    <t>VERDICT: ✅ YES — Add 5% gold allocation via SGBs. ~₹3-5K/month</t>
  </si>
  <si>
    <t>🔵 US/INTERNATIONAL STOCKS — Recommended: 10-15% of portfolio</t>
  </si>
  <si>
    <t>WHY: Your entire portfolio is INR-denominated. If INR depreciates (it has been for decades), your purchasing power vs USD drops. International funds give USD exposure and access to global leaders (Apple, Google, NVIDIA) that India doesn't have.</t>
  </si>
  <si>
    <t>HOW: Parag Parikh Flexi Cap already has ~35% international exposure — you're partially covered! But you can add Motilal Oswal Nasdaq 100 or ICICI Pru US Bluechip for direct US exposure. SEBI limits overseas MF investments — check current limits before investing.</t>
  </si>
  <si>
    <t>VERDICT: ✅ PARTIAL — You already have this via PP Flexi Cap. Add ₹5-10K to a dedicated US fund ONLY after SEBI restores overseas investment limits.</t>
  </si>
  <si>
    <t>🔴 BITCOIN / CRYPTOCURRENCY — Not Recommended for core portfolio</t>
  </si>
  <si>
    <t>WHY NOT: Extreme volatility (can drop 80%+ in bear markets). No fundamental value anchor. Regulatory uncertainty in India (30% flat tax on gains, no loss offsetting). As an NRI, crypto tax compliance across two jurisdictions is complex.</t>
  </si>
  <si>
    <t>IF YOU WANT EXPOSURE: Keep it to maximum 2-3% of portfolio as speculative allocation. Never invest money you cannot afford to lose completely. Only AFTER your emergency fund, family obligations, and core SIPs are set.</t>
  </si>
  <si>
    <t>VERDICT: ❌ NOT NOW — First hit ₹3L emergency fund, complete MF consolidation, set aside ₹20L family obligations. Then reconsider with max 2% allocation.</t>
  </si>
  <si>
    <t>🟠 FOREX TRADING — Not Recommended</t>
  </si>
  <si>
    <t>WHY NOT: Forex trading is a zero-sum game — for every winner, someone loses. Over 90% of retail forex traders lose money. Requires significant time, skill, and discipline. High risk of ruin. Very different from investing — this is speculation/trading.</t>
  </si>
  <si>
    <t>BETTER ALTERNATIVE: If you want currency diversification, use NRE Fixed Deposits (already tax-free in India) or international equity funds — these give currency diversification without the trading risk.</t>
  </si>
  <si>
    <t>VERDICT: ❌ AVOID — Not suitable for a wealth-building strategy. Stick to investments, not trading.</t>
  </si>
  <si>
    <t>🟣 REAL ESTATE (2nd property) — Too early</t>
  </si>
  <si>
    <t>WHY NOT YET: You already have real estate exposure via Mumbai flat. Adding another property while carrying ₹69L home loan at 9.45% is inadvisable. High EMI + low liquidity + maintenance headache.</t>
  </si>
  <si>
    <t>WHEN TO RECONSIDER: After home loan is closed or near closure (2035+), if you have 30%+ down payment ready, and if rental yield &gt; 4% in that market.</t>
  </si>
  <si>
    <t>VERDICT: ❌ NOT NOW — One property is enough. Focus on paying down existing loan first.</t>
  </si>
  <si>
    <t xml:space="preserve">  VIVEK'S IDEAL DIVERSIFICATION PLAN</t>
  </si>
  <si>
    <t>Mutual Funds (Equity): 75-80% of investable savings (current concentration is fine)</t>
  </si>
  <si>
    <t>Gold via SGBs: 5-8% → ₹3-5K/month (start after MF consolidation done)</t>
  </si>
  <si>
    <t>International Equity: 10-12% (partially covered by PP Flexi Cap already)</t>
  </si>
  <si>
    <t>Emergency Fund (liquid): Keep ₹3-5L in PP Liquid always</t>
  </si>
  <si>
    <t>Crypto: 2% max, only after ₹20L family obligations reserved and emergency fund complete</t>
  </si>
  <si>
    <t xml:space="preserve">  WHAT TO AVOID</t>
  </si>
  <si>
    <t>❌ Forex trading, day trading, F&amp;O derivatives — these are NOT investments</t>
  </si>
  <si>
    <t>❌ Physical gold, chit funds, real estate as investment at this stage</t>
  </si>
  <si>
    <t>❌ Spreading too thin across 10+ asset classes — complexity without benefit</t>
  </si>
  <si>
    <t>❌ Crypto as a serious wealth-builder — only as tiny speculative bet</t>
  </si>
  <si>
    <t xml:space="preserve">  TIMING: WHEN TO ADD EACH ASSET</t>
  </si>
  <si>
    <t>RIGHT NOW (April 2026): Keep focus on MF consolidation + emergency fund. No new asset classes yet.</t>
  </si>
  <si>
    <t>AFTER AUGUST 2026 (post consolidation): Start SGB SIP ₹3K/month</t>
  </si>
  <si>
    <t>AFTER JANUARY 2027 (rental income kicks in): Increase SGB + consider US equity fund</t>
  </si>
  <si>
    <t>AFTER 2030 (India return, higher salary): Full diversification review with a fee-only advisor</t>
  </si>
  <si>
    <t>⚙️  MASTER ASSUMPTIONS  |  Change here → all sheets update automatically</t>
  </si>
  <si>
    <t>📌  PERSONAL &amp; LIFE</t>
  </si>
  <si>
    <t>Current Age</t>
  </si>
  <si>
    <t>Vivek</t>
  </si>
  <si>
    <t>FI Target Age</t>
  </si>
  <si>
    <t>Financial Independence goal</t>
  </si>
  <si>
    <t>Current Year</t>
  </si>
  <si>
    <t>Base year</t>
  </si>
  <si>
    <t>House Purchase Price (₹)</t>
  </si>
  <si>
    <t>Jan 2020; ₹1.10 Cr</t>
  </si>
  <si>
    <t>House Current Market Value (₹)</t>
  </si>
  <si>
    <t>Family Obligation – Brother (₹)</t>
  </si>
  <si>
    <t>Pay when brother buys house</t>
  </si>
  <si>
    <t>Family Obligation – Father (₹)</t>
  </si>
  <si>
    <t>Pay when father builds village house</t>
  </si>
  <si>
    <t>Family Obligation Year – Brother</t>
  </si>
  <si>
    <t>Expected year</t>
  </si>
  <si>
    <t>Family Obligation Year – Father</t>
  </si>
  <si>
    <t>📈  GROWTH &amp; INFLATION RATES</t>
  </si>
  <si>
    <t>Inflation Rate</t>
  </si>
  <si>
    <t>6% long-term India inflation</t>
  </si>
  <si>
    <t>MF Portfolio CAGR</t>
  </si>
  <si>
    <t>12% equity long-term</t>
  </si>
  <si>
    <t>3-4% conservative (use 3.5%)</t>
  </si>
  <si>
    <t>Salary Growth Rate (Bangkok)</t>
  </si>
  <si>
    <t>5% per year</t>
  </si>
  <si>
    <t>Salary Growth Rate (India)</t>
  </si>
  <si>
    <t>8% post return</t>
  </si>
  <si>
    <t>SIP Annual Step-up</t>
  </si>
  <si>
    <t>10% increase per year</t>
  </si>
  <si>
    <t>Home Loan Rate (Current)</t>
  </si>
  <si>
    <t>7.30% SBI floating — update if rate changes</t>
  </si>
  <si>
    <t>Home Loan Rate (Target)</t>
  </si>
  <si>
    <t>7.30% if you negotiate down</t>
  </si>
  <si>
    <t>💰  CURRENT FINANCIALS</t>
  </si>
  <si>
    <t>Bangkok Salary In-Hand (₹/mo)</t>
  </si>
  <si>
    <t>94K THB</t>
  </si>
  <si>
    <t>Rental Income from Jan 2027 (₹/mo)</t>
  </si>
  <si>
    <t>Mumbai flat</t>
  </si>
  <si>
    <t>Home Loan Outstanding (₹)</t>
  </si>
  <si>
    <t>SBI exact balance Apr 2026 (₹68,60,594)</t>
  </si>
  <si>
    <t>Home Loan Original (₹)</t>
  </si>
  <si>
    <t>Sanctioned Jan 2021 (₹74,22,750)</t>
  </si>
  <si>
    <t>Home Loan Start Date</t>
  </si>
  <si>
    <t>Disbursement month</t>
  </si>
  <si>
    <t>Home Loan Tenure (months)</t>
  </si>
  <si>
    <t>269 months remaining as of Apr 2026</t>
  </si>
  <si>
    <t>Current EMI (₹/mo)</t>
  </si>
  <si>
    <t>Exact EMI ₹57,328 — debited 15th every month</t>
  </si>
  <si>
    <t>MF Current Value (₹)</t>
  </si>
  <si>
    <t>All 22 funds combined</t>
  </si>
  <si>
    <t>PPF Balance (₹)</t>
  </si>
  <si>
    <t>Check NRI status</t>
  </si>
  <si>
    <t>NPS Balance (₹)</t>
  </si>
  <si>
    <t>Tier 1</t>
  </si>
  <si>
    <t>Emergency FD (₹)</t>
  </si>
  <si>
    <t>Monthly SIP Total (₹)</t>
  </si>
  <si>
    <t>4 funds</t>
  </si>
  <si>
    <t>FI Corpus Target (₹)</t>
  </si>
  <si>
    <t>₹6 Crore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</si>
</sst>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₹#,##0"/>
    <numFmt numFmtId="165" formatCode="0.0%"/>
    <numFmt numFmtId="166" formatCode="\₹#,##0;&quot;(₹&quot;#,##0\);\-"/>
  </numFmts>
  <fonts count="48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i/>
      <sz val="10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14.0"/>
      <color rgb="FF1C1C1C"/>
      <name val="Arial"/>
    </font>
    <font>
      <sz val="10.0"/>
      <color rgb="FF1C1C1C"/>
      <name val="Arial"/>
    </font>
    <font>
      <b/>
      <sz val="11.0"/>
      <color rgb="FF0D7377"/>
      <name val="Arial"/>
    </font>
    <font>
      <i/>
      <sz val="9.0"/>
      <color rgb="FF777777"/>
      <name val="Arial"/>
    </font>
    <font>
      <i/>
      <sz val="8.0"/>
      <color rgb="FF555555"/>
      <name val="Arial"/>
    </font>
    <font>
      <i/>
      <sz val="9.0"/>
      <color rgb="FF555555"/>
      <name val="Arial"/>
    </font>
    <font>
      <sz val="9.0"/>
      <color rgb="FF1C1C1C"/>
      <name val="Arial"/>
    </font>
    <font>
      <sz val="11.0"/>
      <color rgb="FF1C1C1C"/>
      <name val="Arial"/>
    </font>
    <font>
      <sz val="9.0"/>
      <color rgb="FFC0392B"/>
      <name val="Arial"/>
    </font>
    <font>
      <b/>
      <sz val="10.0"/>
      <color rgb="FF1C1C1C"/>
      <name val="Arial"/>
    </font>
    <font>
      <b/>
      <sz val="11.0"/>
      <color rgb="FF1C1C1C"/>
      <name val="Arial"/>
    </font>
    <font>
      <b/>
      <sz val="9.0"/>
      <color rgb="FFC0392B"/>
      <name val="Arial"/>
    </font>
    <font>
      <sz val="9.0"/>
      <color rgb="FF1E8449"/>
      <name val="Arial"/>
    </font>
    <font>
      <b/>
      <sz val="11.0"/>
      <color rgb="FF1B2A4A"/>
      <name val="Arial"/>
    </font>
    <font>
      <b/>
      <i/>
      <sz val="11.0"/>
      <color rgb="FF1B2A4A"/>
      <name val="Arial"/>
    </font>
    <font>
      <sz val="11.0"/>
      <color rgb="FF1E8449"/>
      <name val="Arial"/>
    </font>
    <font>
      <sz val="11.0"/>
      <color rgb="FFC0392B"/>
      <name val="Arial"/>
    </font>
    <font>
      <b/>
      <sz val="11.0"/>
      <color rgb="FF1E8449"/>
      <name val="Arial"/>
    </font>
    <font>
      <i/>
      <sz val="9.0"/>
      <color rgb="FFFFFFFF"/>
      <name val="Arial"/>
    </font>
    <font>
      <b/>
      <sz val="14.0"/>
      <color rgb="FFFFFFFF"/>
      <name val="Arial"/>
    </font>
    <font>
      <sz val="10.0"/>
      <color rgb="FF1E8449"/>
      <name val="Arial"/>
    </font>
    <font>
      <sz val="10.0"/>
      <color rgb="FFC0392B"/>
      <name val="Arial"/>
    </font>
    <font>
      <b/>
      <sz val="10.0"/>
      <color rgb="FF1E8449"/>
      <name val="Arial"/>
    </font>
    <font>
      <sz val="11.0"/>
      <color rgb="FF1B2A4A"/>
      <name val="Arial"/>
    </font>
    <font>
      <sz val="10.0"/>
      <color rgb="FF0000FF"/>
      <name val="Arial"/>
    </font>
    <font>
      <b/>
      <sz val="13.0"/>
      <color rgb="FFFFFFFF"/>
      <name val="Arial"/>
    </font>
    <font>
      <sz val="10.0"/>
      <color rgb="FF0D7377"/>
      <name val="Arial"/>
    </font>
    <font>
      <b/>
      <sz val="11.0"/>
      <color rgb="FFD35400"/>
      <name val="Arial"/>
    </font>
    <font>
      <i/>
      <sz val="9.0"/>
      <color rgb="FF1C1C1C"/>
      <name val="Arial"/>
    </font>
    <font>
      <b/>
      <sz val="10.0"/>
      <color rgb="FF1B2A4A"/>
      <name val="Arial"/>
    </font>
    <font>
      <sz val="11.0"/>
      <color rgb="FF0D7377"/>
      <name val="Arial"/>
    </font>
    <font>
      <sz val="11.0"/>
      <color rgb="FFD35400"/>
      <name val="Arial"/>
    </font>
    <font>
      <i/>
      <sz val="9.0"/>
      <color rgb="FF666666"/>
      <name val="Arial"/>
    </font>
    <font>
      <sz val="10.0"/>
      <color rgb="FF1B2A4A"/>
      <name val="Arial"/>
    </font>
    <font>
      <sz val="9.0"/>
      <color rgb="FF0000FF"/>
      <name val="Arial"/>
    </font>
    <font>
      <b/>
      <sz val="9.0"/>
      <color rgb="FF1C1C1C"/>
      <name val="Arial"/>
    </font>
    <font>
      <b/>
      <sz val="9.0"/>
      <color rgb="FF1E8449"/>
      <name val="Arial"/>
    </font>
    <font>
      <sz val="9.0"/>
      <color rgb="FFD35400"/>
      <name val="Arial"/>
    </font>
    <font>
      <b/>
      <sz val="10.0"/>
      <color rgb="FFC0392B"/>
      <name val="Arial"/>
    </font>
    <font>
      <sz val="11.0"/>
      <color rgb="FF0000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0D7377"/>
        <bgColor rgb="FF0D7377"/>
      </patternFill>
    </fill>
    <fill>
      <patternFill patternType="solid">
        <fgColor rgb="FFF4A927"/>
        <bgColor rgb="FFF4A927"/>
      </patternFill>
    </fill>
    <fill>
      <patternFill patternType="solid">
        <fgColor rgb="FFC0392B"/>
        <bgColor rgb="FFC0392B"/>
      </patternFill>
    </fill>
    <fill>
      <patternFill patternType="solid">
        <fgColor rgb="FFD6E4F0"/>
        <bgColor rgb="FFD6E4F0"/>
      </patternFill>
    </fill>
    <fill>
      <patternFill patternType="solid">
        <fgColor rgb="FFFADBD8"/>
        <bgColor rgb="FFFADBD8"/>
      </patternFill>
    </fill>
    <fill>
      <patternFill patternType="solid">
        <fgColor rgb="FFA8DADB"/>
        <bgColor rgb="FFA8DADB"/>
      </patternFill>
    </fill>
    <fill>
      <patternFill patternType="solid">
        <fgColor rgb="FFFFFFFF"/>
        <bgColor rgb="FFFFFFFF"/>
      </patternFill>
    </fill>
    <fill>
      <patternFill patternType="solid">
        <fgColor rgb="FFF2F3F4"/>
        <bgColor rgb="FFF2F3F4"/>
      </patternFill>
    </fill>
    <fill>
      <patternFill patternType="solid">
        <fgColor rgb="FF1E8449"/>
        <bgColor rgb="FF1E8449"/>
      </patternFill>
    </fill>
    <fill>
      <patternFill patternType="solid">
        <fgColor rgb="FF6C3483"/>
        <bgColor rgb="FF6C3483"/>
      </patternFill>
    </fill>
    <fill>
      <patternFill patternType="solid">
        <fgColor rgb="FFD5F5E3"/>
        <bgColor rgb="FFD5F5E3"/>
      </patternFill>
    </fill>
    <fill>
      <patternFill patternType="solid">
        <fgColor rgb="FFF4ECF7"/>
        <bgColor rgb="FFF4ECF7"/>
      </patternFill>
    </fill>
    <fill>
      <patternFill patternType="solid">
        <fgColor rgb="FFFEF9E7"/>
        <bgColor rgb="FFFEF9E7"/>
      </patternFill>
    </fill>
    <fill>
      <patternFill patternType="solid">
        <fgColor rgb="FFD6EAF8"/>
        <bgColor rgb="FFD6EAF8"/>
      </patternFill>
    </fill>
    <fill>
      <patternFill patternType="solid">
        <fgColor rgb="FF1A5276"/>
        <bgColor rgb="FF1A5276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medium">
        <color rgb="FF1B2A4A"/>
      </left>
      <top style="medium">
        <color rgb="FF1B2A4A"/>
      </top>
      <bottom style="medium">
        <color rgb="FF1B2A4A"/>
      </bottom>
    </border>
    <border>
      <right/>
      <top style="medium">
        <color rgb="FF1B2A4A"/>
      </top>
      <bottom style="medium">
        <color rgb="FF1B2A4A"/>
      </bottom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</border>
    <border>
      <top style="medium">
        <color rgb="FF1B2A4A"/>
      </top>
      <bottom style="medium">
        <color rgb="FF1B2A4A"/>
      </bottom>
    </border>
    <border>
      <left style="thin">
        <color rgb="FFD0D3D4"/>
      </left>
      <top style="thin">
        <color rgb="FFD0D3D4"/>
      </top>
      <bottom style="thin">
        <color rgb="FFD0D3D4"/>
      </bottom>
    </border>
    <border>
      <right/>
      <top style="thin">
        <color rgb="FFD0D3D4"/>
      </top>
      <bottom style="thin">
        <color rgb="FFD0D3D4"/>
      </bottom>
    </border>
    <border>
      <left/>
      <right/>
      <top/>
      <bottom/>
    </border>
    <border>
      <right style="thin">
        <color rgb="FFD0D3D4"/>
      </right>
      <top style="thin">
        <color rgb="FFD0D3D4"/>
      </top>
      <bottom style="thin">
        <color rgb="FFD0D3D4"/>
      </bottom>
    </border>
    <border>
      <top style="thin">
        <color rgb="FFD0D3D4"/>
      </top>
      <bottom style="thin">
        <color rgb="FFD0D3D4"/>
      </bottom>
    </border>
    <border>
      <left style="thin">
        <color rgb="FFD0D3D4"/>
      </left>
      <right/>
      <top style="thin">
        <color rgb="FFD0D3D4"/>
      </top>
      <bottom style="thin">
        <color rgb="FFD0D3D4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left" shrinkToFit="0" vertical="center" wrapText="0"/>
    </xf>
    <xf borderId="1" fillId="6" fontId="8" numFmtId="164" xfId="0" applyAlignment="1" applyBorder="1" applyFill="1" applyFont="1" applyNumberFormat="1">
      <alignment horizontal="center" shrinkToFit="0" vertical="center" wrapText="0"/>
    </xf>
    <xf borderId="1" fillId="7" fontId="8" numFmtId="164" xfId="0" applyAlignment="1" applyBorder="1" applyFill="1" applyFont="1" applyNumberFormat="1">
      <alignment horizontal="center" shrinkToFit="0" vertical="center" wrapText="0"/>
    </xf>
    <xf borderId="1" fillId="8" fontId="8" numFmtId="164" xfId="0" applyAlignment="1" applyBorder="1" applyFill="1" applyFont="1" applyNumberFormat="1">
      <alignment horizontal="center" shrinkToFit="0" vertical="center" wrapText="0"/>
    </xf>
    <xf borderId="4" fillId="9" fontId="9" numFmtId="0" xfId="0" applyAlignment="1" applyBorder="1" applyFill="1" applyFont="1">
      <alignment horizontal="left" shrinkToFit="0" vertical="center" wrapText="0"/>
    </xf>
    <xf borderId="4" fillId="9" fontId="10" numFmtId="1" xfId="0" applyAlignment="1" applyBorder="1" applyFont="1" applyNumberFormat="1">
      <alignment horizontal="right" shrinkToFit="0" vertical="center" wrapText="0"/>
    </xf>
    <xf borderId="4" fillId="9" fontId="11" numFmtId="0" xfId="0" applyAlignment="1" applyBorder="1" applyFont="1">
      <alignment horizontal="left" shrinkToFit="0" vertical="center" wrapText="0"/>
    </xf>
    <xf borderId="1" fillId="6" fontId="12" numFmtId="0" xfId="0" applyAlignment="1" applyBorder="1" applyFont="1">
      <alignment horizontal="center" shrinkToFit="0" vertical="center" wrapText="0"/>
    </xf>
    <xf borderId="1" fillId="7" fontId="12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4" fillId="10" fontId="9" numFmtId="0" xfId="0" applyAlignment="1" applyBorder="1" applyFill="1" applyFont="1">
      <alignment horizontal="left" shrinkToFit="0" vertical="center" wrapText="0"/>
    </xf>
    <xf borderId="4" fillId="10" fontId="10" numFmtId="1" xfId="0" applyAlignment="1" applyBorder="1" applyFont="1" applyNumberFormat="1">
      <alignment horizontal="right" shrinkToFit="0" vertical="center" wrapText="0"/>
    </xf>
    <xf borderId="4" fillId="10" fontId="11" numFmtId="0" xfId="0" applyAlignment="1" applyBorder="1" applyFont="1">
      <alignment horizontal="left" shrinkToFit="0" vertical="center" wrapText="0"/>
    </xf>
    <xf borderId="4" fillId="9" fontId="10" numFmtId="164" xfId="0" applyAlignment="1" applyBorder="1" applyFont="1" applyNumberFormat="1">
      <alignment horizontal="right" shrinkToFit="0" vertical="center" wrapText="0"/>
    </xf>
    <xf borderId="1" fillId="11" fontId="6" numFmtId="0" xfId="0" applyAlignment="1" applyBorder="1" applyFill="1" applyFont="1">
      <alignment horizontal="center" shrinkToFit="0" vertical="center" wrapText="0"/>
    </xf>
    <xf borderId="1" fillId="12" fontId="6" numFmtId="0" xfId="0" applyAlignment="1" applyBorder="1" applyFill="1" applyFont="1">
      <alignment horizontal="center" shrinkToFit="0" vertical="center" wrapText="0"/>
    </xf>
    <xf borderId="4" fillId="10" fontId="10" numFmtId="165" xfId="0" applyAlignment="1" applyBorder="1" applyFont="1" applyNumberFormat="1">
      <alignment horizontal="right" shrinkToFit="0" vertical="center" wrapText="0"/>
    </xf>
    <xf borderId="1" fillId="13" fontId="8" numFmtId="164" xfId="0" applyAlignment="1" applyBorder="1" applyFill="1" applyFont="1" applyNumberFormat="1">
      <alignment horizontal="center" shrinkToFit="0" vertical="center" wrapText="0"/>
    </xf>
    <xf borderId="1" fillId="14" fontId="8" numFmtId="1" xfId="0" applyAlignment="1" applyBorder="1" applyFill="1" applyFont="1" applyNumberFormat="1">
      <alignment horizontal="center" shrinkToFit="0" vertical="center" wrapText="0"/>
    </xf>
    <xf borderId="4" fillId="9" fontId="10" numFmtId="165" xfId="0" applyAlignment="1" applyBorder="1" applyFont="1" applyNumberFormat="1">
      <alignment horizontal="right" shrinkToFit="0" vertical="center" wrapText="0"/>
    </xf>
    <xf borderId="1" fillId="13" fontId="12" numFmtId="0" xfId="0" applyAlignment="1" applyBorder="1" applyFont="1">
      <alignment horizontal="center" shrinkToFit="0" vertical="center" wrapText="0"/>
    </xf>
    <xf borderId="1" fillId="14" fontId="12" numFmtId="0" xfId="0" applyAlignment="1" applyBorder="1" applyFont="1">
      <alignment horizontal="center" shrinkToFit="0" vertical="center" wrapText="0"/>
    </xf>
    <xf borderId="4" fillId="10" fontId="10" numFmtId="164" xfId="0" applyAlignment="1" applyBorder="1" applyFont="1" applyNumberFormat="1">
      <alignment horizontal="right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4" fillId="9" fontId="9" numFmtId="166" xfId="0" applyAlignment="1" applyBorder="1" applyFont="1" applyNumberFormat="1">
      <alignment horizontal="right" shrinkToFit="0" vertical="center" wrapText="0"/>
    </xf>
    <xf borderId="4" fillId="9" fontId="13" numFmtId="0" xfId="0" applyAlignment="1" applyBorder="1" applyFont="1">
      <alignment horizontal="center" shrinkToFit="0" vertical="center" wrapText="0"/>
    </xf>
    <xf borderId="4" fillId="9" fontId="13" numFmtId="0" xfId="0" applyAlignment="1" applyBorder="1" applyFont="1">
      <alignment horizontal="left" shrinkToFit="0" vertical="center" wrapText="0"/>
    </xf>
    <xf borderId="4" fillId="9" fontId="14" numFmtId="0" xfId="0" applyAlignment="1" applyBorder="1" applyFont="1">
      <alignment horizontal="center" shrinkToFit="0" vertical="center" wrapText="0"/>
    </xf>
    <xf borderId="4" fillId="15" fontId="9" numFmtId="0" xfId="0" applyAlignment="1" applyBorder="1" applyFill="1" applyFont="1">
      <alignment horizontal="left" shrinkToFit="0" vertical="center" wrapText="0"/>
    </xf>
    <xf borderId="4" fillId="15" fontId="9" numFmtId="166" xfId="0" applyAlignment="1" applyBorder="1" applyFont="1" applyNumberFormat="1">
      <alignment horizontal="right" shrinkToFit="0" vertical="center" wrapText="0"/>
    </xf>
    <xf borderId="4" fillId="15" fontId="13" numFmtId="0" xfId="0" applyAlignment="1" applyBorder="1" applyFont="1">
      <alignment horizontal="center" shrinkToFit="0" vertical="center" wrapText="0"/>
    </xf>
    <xf borderId="4" fillId="15" fontId="13" numFmtId="0" xfId="0" applyAlignment="1" applyBorder="1" applyFont="1">
      <alignment horizontal="left" shrinkToFit="0" vertical="center" wrapText="0"/>
    </xf>
    <xf borderId="4" fillId="15" fontId="14" numFmtId="0" xfId="0" applyAlignment="1" applyBorder="1" applyFont="1">
      <alignment horizontal="center" shrinkToFit="0" vertical="center" wrapText="0"/>
    </xf>
    <xf borderId="4" fillId="7" fontId="9" numFmtId="0" xfId="0" applyAlignment="1" applyBorder="1" applyFont="1">
      <alignment horizontal="left" shrinkToFit="0" vertical="center" wrapText="0"/>
    </xf>
    <xf borderId="4" fillId="7" fontId="9" numFmtId="166" xfId="0" applyAlignment="1" applyBorder="1" applyFont="1" applyNumberFormat="1">
      <alignment horizontal="right" shrinkToFit="0" vertical="center" wrapText="0"/>
    </xf>
    <xf borderId="4" fillId="7" fontId="13" numFmtId="0" xfId="0" applyAlignment="1" applyBorder="1" applyFont="1">
      <alignment horizontal="center" shrinkToFit="0" vertical="center" wrapText="0"/>
    </xf>
    <xf borderId="4" fillId="7" fontId="13" numFmtId="0" xfId="0" applyAlignment="1" applyBorder="1" applyFont="1">
      <alignment horizontal="left" shrinkToFit="0" vertical="center" wrapText="0"/>
    </xf>
    <xf borderId="4" fillId="7" fontId="14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left" shrinkToFit="0" vertical="center" wrapText="0"/>
    </xf>
    <xf borderId="4" fillId="10" fontId="9" numFmtId="166" xfId="0" applyAlignment="1" applyBorder="1" applyFont="1" applyNumberFormat="1">
      <alignment horizontal="right" shrinkToFit="0" vertical="center" wrapText="0"/>
    </xf>
    <xf borderId="4" fillId="10" fontId="13" numFmtId="0" xfId="0" applyAlignment="1" applyBorder="1" applyFont="1">
      <alignment horizontal="center" shrinkToFit="0" vertical="center" wrapText="0"/>
    </xf>
    <xf borderId="4" fillId="10" fontId="13" numFmtId="0" xfId="0" applyAlignment="1" applyBorder="1" applyFont="1">
      <alignment horizontal="left" shrinkToFit="0" vertical="center" wrapText="0"/>
    </xf>
    <xf borderId="4" fillId="10" fontId="14" numFmtId="0" xfId="0" applyAlignment="1" applyBorder="1" applyFont="1">
      <alignment horizontal="center" shrinkToFit="0" vertical="center" wrapText="0"/>
    </xf>
    <xf borderId="4" fillId="15" fontId="15" numFmtId="164" xfId="0" applyAlignment="1" applyBorder="1" applyFont="1" applyNumberFormat="1">
      <alignment horizontal="right" shrinkToFit="0" vertical="center" wrapText="0"/>
    </xf>
    <xf borderId="4" fillId="9" fontId="16" numFmtId="0" xfId="0" applyAlignment="1" applyBorder="1" applyFont="1">
      <alignment horizontal="center" shrinkToFit="0" vertical="center" wrapText="0"/>
    </xf>
    <xf borderId="4" fillId="10" fontId="16" numFmtId="0" xfId="0" applyAlignment="1" applyBorder="1" applyFont="1">
      <alignment horizontal="center" shrinkToFit="0" vertical="center" wrapText="0"/>
    </xf>
    <xf borderId="4" fillId="4" fontId="17" numFmtId="0" xfId="0" applyAlignment="1" applyBorder="1" applyFont="1">
      <alignment horizontal="left" shrinkToFit="0" vertical="center" wrapText="0"/>
    </xf>
    <xf borderId="4" fillId="4" fontId="18" numFmtId="164" xfId="0" applyAlignment="1" applyBorder="1" applyFont="1" applyNumberFormat="1">
      <alignment horizontal="right" shrinkToFit="0" vertical="center" wrapText="0"/>
    </xf>
    <xf borderId="4" fillId="4" fontId="19" numFmtId="0" xfId="0" applyAlignment="1" applyBorder="1" applyFont="1">
      <alignment horizontal="center" shrinkToFit="0" vertical="center" wrapText="0"/>
    </xf>
    <xf borderId="4" fillId="9" fontId="20" numFmtId="0" xfId="0" applyAlignment="1" applyBorder="1" applyFont="1">
      <alignment horizontal="center" shrinkToFit="0" vertical="center" wrapText="0"/>
    </xf>
    <xf borderId="5" fillId="2" fontId="7" numFmtId="0" xfId="0" applyAlignment="1" applyBorder="1" applyFont="1">
      <alignment horizontal="left" shrinkToFit="0" vertical="center" wrapText="0"/>
    </xf>
    <xf borderId="6" fillId="0" fontId="3" numFmtId="0" xfId="0" applyBorder="1" applyFont="1"/>
    <xf borderId="7" fillId="6" fontId="21" numFmtId="164" xfId="0" applyAlignment="1" applyBorder="1" applyFont="1" applyNumberFormat="1">
      <alignment horizontal="right" shrinkToFit="0" vertical="center" wrapText="0"/>
    </xf>
    <xf borderId="5" fillId="6" fontId="22" numFmtId="0" xfId="0" applyAlignment="1" applyBorder="1" applyFont="1">
      <alignment horizontal="left" shrinkToFit="0" vertical="center" wrapText="0"/>
    </xf>
    <xf borderId="4" fillId="13" fontId="9" numFmtId="0" xfId="0" applyAlignment="1" applyBorder="1" applyFont="1">
      <alignment horizontal="left" shrinkToFit="0" vertical="center" wrapText="0"/>
    </xf>
    <xf borderId="4" fillId="13" fontId="23" numFmtId="164" xfId="0" applyAlignment="1" applyBorder="1" applyFont="1" applyNumberFormat="1">
      <alignment horizontal="right" shrinkToFit="0" vertical="center" wrapText="0"/>
    </xf>
    <xf borderId="4" fillId="7" fontId="24" numFmtId="164" xfId="0" applyAlignment="1" applyBorder="1" applyFont="1" applyNumberFormat="1">
      <alignment horizontal="right" shrinkToFit="0" vertical="center" wrapText="0"/>
    </xf>
    <xf borderId="4" fillId="9" fontId="15" numFmtId="0" xfId="0" applyAlignment="1" applyBorder="1" applyFont="1">
      <alignment horizontal="left" shrinkToFit="0" vertical="center" wrapText="0"/>
    </xf>
    <xf borderId="4" fillId="10" fontId="15" numFmtId="0" xfId="0" applyAlignment="1" applyBorder="1" applyFont="1">
      <alignment horizontal="left" shrinkToFit="0" vertical="center" wrapText="0"/>
    </xf>
    <xf borderId="5" fillId="11" fontId="7" numFmtId="0" xfId="0" applyAlignment="1" applyBorder="1" applyFont="1">
      <alignment horizontal="left" shrinkToFit="0" vertical="center" wrapText="0"/>
    </xf>
    <xf borderId="8" fillId="0" fontId="3" numFmtId="0" xfId="0" applyBorder="1" applyFont="1"/>
    <xf borderId="7" fillId="13" fontId="25" numFmtId="164" xfId="0" applyAlignment="1" applyBorder="1" applyFont="1" applyNumberFormat="1">
      <alignment horizontal="right" shrinkToFit="0" vertical="center" wrapText="0"/>
    </xf>
    <xf borderId="1" fillId="2" fontId="26" numFmtId="0" xfId="0" applyAlignment="1" applyBorder="1" applyFont="1">
      <alignment horizontal="center" shrinkToFit="0" vertical="center" wrapText="0"/>
    </xf>
    <xf borderId="1" fillId="2" fontId="27" numFmtId="0" xfId="0" applyAlignment="1" applyBorder="1" applyFont="1">
      <alignment horizontal="center" shrinkToFit="0" vertical="center" wrapText="0"/>
    </xf>
    <xf borderId="4" fillId="10" fontId="14" numFmtId="0" xfId="0" applyAlignment="1" applyBorder="1" applyFont="1">
      <alignment horizontal="left" shrinkToFit="0" vertical="center" wrapText="0"/>
    </xf>
    <xf borderId="4" fillId="10" fontId="14" numFmtId="165" xfId="0" applyAlignment="1" applyBorder="1" applyFont="1" applyNumberFormat="1">
      <alignment horizontal="right" shrinkToFit="0" vertical="center" wrapText="0"/>
    </xf>
    <xf borderId="4" fillId="9" fontId="14" numFmtId="0" xfId="0" applyAlignment="1" applyBorder="1" applyFont="1">
      <alignment horizontal="left" shrinkToFit="0" vertical="center" wrapText="0"/>
    </xf>
    <xf borderId="4" fillId="9" fontId="14" numFmtId="165" xfId="0" applyAlignment="1" applyBorder="1" applyFont="1" applyNumberFormat="1">
      <alignment horizontal="right" shrinkToFit="0" vertical="center" wrapText="0"/>
    </xf>
    <xf borderId="4" fillId="16" fontId="17" numFmtId="0" xfId="0" applyAlignment="1" applyBorder="1" applyFill="1" applyFont="1">
      <alignment horizontal="center" shrinkToFit="0" vertical="center" wrapText="0"/>
    </xf>
    <xf borderId="4" fillId="16" fontId="9" numFmtId="1" xfId="0" applyAlignment="1" applyBorder="1" applyFont="1" applyNumberFormat="1">
      <alignment horizontal="center" shrinkToFit="0" vertical="center" wrapText="0"/>
    </xf>
    <xf borderId="4" fillId="16" fontId="9" numFmtId="49" xfId="0" applyAlignment="1" applyBorder="1" applyFont="1" applyNumberFormat="1">
      <alignment horizontal="left" shrinkToFit="0" vertical="center" wrapText="0"/>
    </xf>
    <xf borderId="4" fillId="16" fontId="9" numFmtId="164" xfId="0" applyAlignment="1" applyBorder="1" applyFont="1" applyNumberFormat="1">
      <alignment horizontal="right" shrinkToFit="0" vertical="center" wrapText="0"/>
    </xf>
    <xf borderId="4" fillId="16" fontId="28" numFmtId="164" xfId="0" applyAlignment="1" applyBorder="1" applyFont="1" applyNumberFormat="1">
      <alignment horizontal="right" shrinkToFit="0" vertical="center" wrapText="0"/>
    </xf>
    <xf borderId="4" fillId="16" fontId="29" numFmtId="164" xfId="0" applyAlignment="1" applyBorder="1" applyFont="1" applyNumberFormat="1">
      <alignment horizontal="right" shrinkToFit="0" vertical="center" wrapText="0"/>
    </xf>
    <xf borderId="4" fillId="16" fontId="30" numFmtId="164" xfId="0" applyAlignment="1" applyBorder="1" applyFont="1" applyNumberFormat="1">
      <alignment horizontal="right" shrinkToFit="0" vertical="center" wrapText="0"/>
    </xf>
    <xf borderId="4" fillId="16" fontId="9" numFmtId="165" xfId="0" applyAlignment="1" applyBorder="1" applyFont="1" applyNumberFormat="1">
      <alignment horizontal="center" shrinkToFit="0" vertical="center" wrapText="0"/>
    </xf>
    <xf borderId="4" fillId="13" fontId="17" numFmtId="0" xfId="0" applyAlignment="1" applyBorder="1" applyFont="1">
      <alignment horizontal="center" shrinkToFit="0" vertical="center" wrapText="0"/>
    </xf>
    <xf borderId="4" fillId="13" fontId="9" numFmtId="1" xfId="0" applyAlignment="1" applyBorder="1" applyFont="1" applyNumberFormat="1">
      <alignment horizontal="center" shrinkToFit="0" vertical="center" wrapText="0"/>
    </xf>
    <xf borderId="4" fillId="13" fontId="9" numFmtId="49" xfId="0" applyAlignment="1" applyBorder="1" applyFont="1" applyNumberFormat="1">
      <alignment horizontal="left" shrinkToFit="0" vertical="center" wrapText="0"/>
    </xf>
    <xf borderId="4" fillId="13" fontId="9" numFmtId="164" xfId="0" applyAlignment="1" applyBorder="1" applyFont="1" applyNumberFormat="1">
      <alignment horizontal="right" shrinkToFit="0" vertical="center" wrapText="0"/>
    </xf>
    <xf borderId="4" fillId="13" fontId="28" numFmtId="164" xfId="0" applyAlignment="1" applyBorder="1" applyFont="1" applyNumberFormat="1">
      <alignment horizontal="right" shrinkToFit="0" vertical="center" wrapText="0"/>
    </xf>
    <xf borderId="4" fillId="13" fontId="29" numFmtId="164" xfId="0" applyAlignment="1" applyBorder="1" applyFont="1" applyNumberFormat="1">
      <alignment horizontal="right" shrinkToFit="0" vertical="center" wrapText="0"/>
    </xf>
    <xf borderId="4" fillId="13" fontId="30" numFmtId="164" xfId="0" applyAlignment="1" applyBorder="1" applyFont="1" applyNumberFormat="1">
      <alignment horizontal="right" shrinkToFit="0" vertical="center" wrapText="0"/>
    </xf>
    <xf borderId="4" fillId="13" fontId="9" numFmtId="165" xfId="0" applyAlignment="1" applyBorder="1" applyFont="1" applyNumberFormat="1">
      <alignment horizontal="center" shrinkToFit="0" vertical="center" wrapText="0"/>
    </xf>
    <xf borderId="4" fillId="14" fontId="17" numFmtId="0" xfId="0" applyAlignment="1" applyBorder="1" applyFont="1">
      <alignment horizontal="center" shrinkToFit="0" vertical="center" wrapText="0"/>
    </xf>
    <xf borderId="4" fillId="14" fontId="9" numFmtId="1" xfId="0" applyAlignment="1" applyBorder="1" applyFont="1" applyNumberFormat="1">
      <alignment horizontal="center" shrinkToFit="0" vertical="center" wrapText="0"/>
    </xf>
    <xf borderId="4" fillId="14" fontId="9" numFmtId="49" xfId="0" applyAlignment="1" applyBorder="1" applyFont="1" applyNumberFormat="1">
      <alignment horizontal="left" shrinkToFit="0" vertical="center" wrapText="0"/>
    </xf>
    <xf borderId="4" fillId="14" fontId="9" numFmtId="164" xfId="0" applyAlignment="1" applyBorder="1" applyFont="1" applyNumberFormat="1">
      <alignment horizontal="right" shrinkToFit="0" vertical="center" wrapText="0"/>
    </xf>
    <xf borderId="4" fillId="14" fontId="28" numFmtId="164" xfId="0" applyAlignment="1" applyBorder="1" applyFont="1" applyNumberFormat="1">
      <alignment horizontal="right" shrinkToFit="0" vertical="center" wrapText="0"/>
    </xf>
    <xf borderId="4" fillId="14" fontId="29" numFmtId="164" xfId="0" applyAlignment="1" applyBorder="1" applyFont="1" applyNumberFormat="1">
      <alignment horizontal="right" shrinkToFit="0" vertical="center" wrapText="0"/>
    </xf>
    <xf borderId="4" fillId="14" fontId="30" numFmtId="164" xfId="0" applyAlignment="1" applyBorder="1" applyFont="1" applyNumberFormat="1">
      <alignment horizontal="right" shrinkToFit="0" vertical="center" wrapText="0"/>
    </xf>
    <xf borderId="4" fillId="14" fontId="9" numFmtId="165" xfId="0" applyAlignment="1" applyBorder="1" applyFont="1" applyNumberFormat="1">
      <alignment horizontal="center" shrinkToFit="0" vertical="center" wrapText="0"/>
    </xf>
    <xf borderId="4" fillId="15" fontId="17" numFmtId="0" xfId="0" applyAlignment="1" applyBorder="1" applyFont="1">
      <alignment horizontal="center" shrinkToFit="0" vertical="center" wrapText="0"/>
    </xf>
    <xf borderId="4" fillId="15" fontId="9" numFmtId="1" xfId="0" applyAlignment="1" applyBorder="1" applyFont="1" applyNumberFormat="1">
      <alignment horizontal="center" shrinkToFit="0" vertical="center" wrapText="0"/>
    </xf>
    <xf borderId="4" fillId="15" fontId="9" numFmtId="49" xfId="0" applyAlignment="1" applyBorder="1" applyFont="1" applyNumberFormat="1">
      <alignment horizontal="left" shrinkToFit="0" vertical="center" wrapText="0"/>
    </xf>
    <xf borderId="4" fillId="15" fontId="9" numFmtId="164" xfId="0" applyAlignment="1" applyBorder="1" applyFont="1" applyNumberFormat="1">
      <alignment horizontal="right" shrinkToFit="0" vertical="center" wrapText="0"/>
    </xf>
    <xf borderId="4" fillId="15" fontId="28" numFmtId="164" xfId="0" applyAlignment="1" applyBorder="1" applyFont="1" applyNumberFormat="1">
      <alignment horizontal="right" shrinkToFit="0" vertical="center" wrapText="0"/>
    </xf>
    <xf borderId="4" fillId="15" fontId="29" numFmtId="164" xfId="0" applyAlignment="1" applyBorder="1" applyFont="1" applyNumberFormat="1">
      <alignment horizontal="right" shrinkToFit="0" vertical="center" wrapText="0"/>
    </xf>
    <xf borderId="4" fillId="15" fontId="30" numFmtId="164" xfId="0" applyAlignment="1" applyBorder="1" applyFont="1" applyNumberFormat="1">
      <alignment horizontal="right" shrinkToFit="0" vertical="center" wrapText="0"/>
    </xf>
    <xf borderId="4" fillId="15" fontId="9" numFmtId="165" xfId="0" applyAlignment="1" applyBorder="1" applyFont="1" applyNumberForma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4" fontId="5" numFmtId="1" xfId="0" applyAlignment="1" applyBorder="1" applyFont="1" applyNumberFormat="1">
      <alignment horizontal="center" shrinkToFit="0" vertical="center" wrapText="0"/>
    </xf>
    <xf borderId="4" fillId="4" fontId="5" numFmtId="49" xfId="0" applyAlignment="1" applyBorder="1" applyFont="1" applyNumberFormat="1">
      <alignment horizontal="left" shrinkToFit="0" vertical="center" wrapText="0"/>
    </xf>
    <xf borderId="4" fillId="4" fontId="5" numFmtId="164" xfId="0" applyAlignment="1" applyBorder="1" applyFont="1" applyNumberFormat="1">
      <alignment horizontal="right" shrinkToFit="0" vertical="center" wrapText="0"/>
    </xf>
    <xf borderId="4" fillId="4" fontId="5" numFmtId="165" xfId="0" applyAlignment="1" applyBorder="1" applyFont="1" applyNumberFormat="1">
      <alignment horizontal="center" shrinkToFit="0" vertical="center" wrapText="0"/>
    </xf>
    <xf borderId="9" fillId="16" fontId="31" numFmtId="0" xfId="0" applyAlignment="1" applyBorder="1" applyFont="1">
      <alignment horizontal="center" shrinkToFit="0" vertical="center" wrapText="0"/>
    </xf>
    <xf borderId="10" fillId="0" fontId="3" numFmtId="0" xfId="0" applyBorder="1" applyFont="1"/>
    <xf borderId="9" fillId="13" fontId="31" numFmtId="0" xfId="0" applyAlignment="1" applyBorder="1" applyFont="1">
      <alignment horizontal="center" shrinkToFit="0" vertical="center" wrapText="0"/>
    </xf>
    <xf borderId="9" fillId="14" fontId="31" numFmtId="0" xfId="0" applyAlignment="1" applyBorder="1" applyFont="1">
      <alignment horizontal="center" shrinkToFit="0" vertical="center" wrapText="0"/>
    </xf>
    <xf borderId="9" fillId="15" fontId="31" numFmtId="0" xfId="0" applyAlignment="1" applyBorder="1" applyFont="1">
      <alignment horizontal="center" shrinkToFit="0" vertical="center" wrapText="0"/>
    </xf>
    <xf borderId="9" fillId="4" fontId="21" numFmtId="0" xfId="0" applyAlignment="1" applyBorder="1" applyFont="1">
      <alignment horizontal="center" shrinkToFit="0" vertical="center" wrapText="0"/>
    </xf>
    <xf borderId="1" fillId="11" fontId="7" numFmtId="0" xfId="0" applyAlignment="1" applyBorder="1" applyFont="1">
      <alignment horizontal="left" shrinkToFit="0" vertical="center" wrapText="0"/>
    </xf>
    <xf borderId="4" fillId="13" fontId="9" numFmtId="0" xfId="0" applyAlignment="1" applyBorder="1" applyFont="1">
      <alignment horizontal="center" shrinkToFit="0" vertical="center" wrapText="0"/>
    </xf>
    <xf borderId="4" fillId="13" fontId="32" numFmtId="164" xfId="0" applyAlignment="1" applyBorder="1" applyFont="1" applyNumberFormat="1">
      <alignment horizontal="right" shrinkToFit="0" vertical="center" wrapText="0"/>
    </xf>
    <xf borderId="4" fillId="13" fontId="28" numFmtId="165" xfId="0" applyAlignment="1" applyBorder="1" applyFont="1" applyNumberFormat="1">
      <alignment horizontal="right" shrinkToFit="0" vertical="center" wrapText="0"/>
    </xf>
    <xf borderId="4" fillId="9" fontId="9" numFmtId="0" xfId="0" applyAlignment="1" applyBorder="1" applyFont="1">
      <alignment horizontal="center" shrinkToFit="0" vertical="center" wrapText="0"/>
    </xf>
    <xf borderId="4" fillId="9" fontId="32" numFmtId="164" xfId="0" applyAlignment="1" applyBorder="1" applyFont="1" applyNumberFormat="1">
      <alignment horizontal="right" shrinkToFit="0" vertical="center" wrapText="0"/>
    </xf>
    <xf borderId="4" fillId="9" fontId="9" numFmtId="164" xfId="0" applyAlignment="1" applyBorder="1" applyFont="1" applyNumberFormat="1">
      <alignment horizontal="right" shrinkToFit="0" vertical="center" wrapText="0"/>
    </xf>
    <xf borderId="4" fillId="9" fontId="28" numFmtId="165" xfId="0" applyAlignment="1" applyBorder="1" applyFont="1" applyNumberFormat="1">
      <alignment horizontal="right" shrinkToFit="0" vertical="center" wrapText="0"/>
    </xf>
    <xf borderId="9" fillId="13" fontId="18" numFmtId="0" xfId="0" applyAlignment="1" applyBorder="1" applyFont="1">
      <alignment horizontal="left" shrinkToFit="0" vertical="center" wrapText="0"/>
    </xf>
    <xf borderId="4" fillId="13" fontId="18" numFmtId="164" xfId="0" applyAlignment="1" applyBorder="1" applyFont="1" applyNumberFormat="1">
      <alignment horizontal="right" shrinkToFit="0" vertical="center" wrapText="0"/>
    </xf>
    <xf borderId="1" fillId="5" fontId="7" numFmtId="0" xfId="0" applyAlignment="1" applyBorder="1" applyFont="1">
      <alignment horizontal="left" shrinkToFit="0" vertical="center" wrapText="0"/>
    </xf>
    <xf borderId="4" fillId="7" fontId="32" numFmtId="0" xfId="0" applyAlignment="1" applyBorder="1" applyFont="1">
      <alignment horizontal="left" shrinkToFit="0" vertical="center" wrapText="0"/>
    </xf>
    <xf borderId="4" fillId="7" fontId="32" numFmtId="0" xfId="0" applyAlignment="1" applyBorder="1" applyFont="1">
      <alignment horizontal="center" shrinkToFit="0" vertical="center" wrapText="0"/>
    </xf>
    <xf borderId="4" fillId="7" fontId="32" numFmtId="164" xfId="0" applyAlignment="1" applyBorder="1" applyFont="1" applyNumberFormat="1">
      <alignment horizontal="right" shrinkToFit="0" vertical="center" wrapText="0"/>
    </xf>
    <xf borderId="4" fillId="7" fontId="9" numFmtId="164" xfId="0" applyAlignment="1" applyBorder="1" applyFont="1" applyNumberFormat="1">
      <alignment horizontal="right" shrinkToFit="0" vertical="center" wrapText="0"/>
    </xf>
    <xf borderId="4" fillId="7" fontId="9" numFmtId="165" xfId="0" applyAlignment="1" applyBorder="1" applyFont="1" applyNumberFormat="1">
      <alignment horizontal="right" shrinkToFit="0" vertical="center" wrapText="0"/>
    </xf>
    <xf borderId="4" fillId="9" fontId="32" numFmtId="0" xfId="0" applyAlignment="1" applyBorder="1" applyFont="1">
      <alignment horizontal="left" shrinkToFit="0" vertical="center" wrapText="0"/>
    </xf>
    <xf borderId="4" fillId="9" fontId="32" numFmtId="0" xfId="0" applyAlignment="1" applyBorder="1" applyFont="1">
      <alignment horizontal="center" shrinkToFit="0" vertical="center" wrapText="0"/>
    </xf>
    <xf borderId="4" fillId="9" fontId="9" numFmtId="165" xfId="0" applyAlignment="1" applyBorder="1" applyFont="1" applyNumberFormat="1">
      <alignment horizontal="right" shrinkToFit="0" vertical="center" wrapText="0"/>
    </xf>
    <xf borderId="9" fillId="7" fontId="18" numFmtId="0" xfId="0" applyAlignment="1" applyBorder="1" applyFont="1">
      <alignment horizontal="left" shrinkToFit="0" vertical="center" wrapText="0"/>
    </xf>
    <xf borderId="4" fillId="7" fontId="18" numFmtId="164" xfId="0" applyAlignment="1" applyBorder="1" applyFont="1" applyNumberFormat="1">
      <alignment horizontal="right" shrinkToFit="0" vertical="center" wrapText="0"/>
    </xf>
    <xf borderId="1" fillId="2" fontId="33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9" fontId="34" numFmtId="0" xfId="0" applyAlignment="1" applyBorder="1" applyFont="1">
      <alignment horizontal="center" shrinkToFit="0" vertical="center" wrapText="0"/>
    </xf>
    <xf borderId="4" fillId="4" fontId="15" numFmtId="164" xfId="0" applyAlignment="1" applyBorder="1" applyFont="1" applyNumberFormat="1">
      <alignment horizontal="right" shrinkToFit="0" vertical="center" wrapText="0"/>
    </xf>
    <xf borderId="4" fillId="10" fontId="34" numFmtId="0" xfId="0" applyAlignment="1" applyBorder="1" applyFont="1">
      <alignment horizontal="center" shrinkToFit="0" vertical="center" wrapText="0"/>
    </xf>
    <xf borderId="4" fillId="15" fontId="35" numFmtId="0" xfId="0" applyAlignment="1" applyBorder="1" applyFont="1">
      <alignment horizontal="center" shrinkToFit="0" vertical="center" wrapText="0"/>
    </xf>
    <xf borderId="4" fillId="15" fontId="32" numFmtId="3" xfId="0" applyAlignment="1" applyBorder="1" applyFont="1" applyNumberFormat="1">
      <alignment horizontal="right" shrinkToFit="0" vertical="center" wrapText="0"/>
    </xf>
    <xf borderId="4" fillId="4" fontId="9" numFmtId="3" xfId="0" applyAlignment="1" applyBorder="1" applyFont="1" applyNumberFormat="1">
      <alignment horizontal="right" shrinkToFit="0" vertical="center" wrapText="0"/>
    </xf>
    <xf borderId="4" fillId="6" fontId="32" numFmtId="2" xfId="0" applyAlignment="1" applyBorder="1" applyFont="1" applyNumberFormat="1">
      <alignment horizontal="right" readingOrder="0" shrinkToFit="0" vertical="center" wrapText="0"/>
    </xf>
    <xf borderId="4" fillId="4" fontId="36" numFmtId="0" xfId="0" applyAlignment="1" applyBorder="1" applyFont="1">
      <alignment horizontal="center" shrinkToFit="0" vertical="center" wrapText="0"/>
    </xf>
    <xf borderId="4" fillId="4" fontId="28" numFmtId="164" xfId="0" applyAlignment="1" applyBorder="1" applyFont="1" applyNumberFormat="1">
      <alignment horizontal="right" shrinkToFit="0" vertical="center" wrapText="0"/>
    </xf>
    <xf borderId="4" fillId="10" fontId="32" numFmtId="164" xfId="0" applyAlignment="1" applyBorder="1" applyFont="1" applyNumberFormat="1">
      <alignment horizontal="right" shrinkToFit="0" vertical="center" wrapText="0"/>
    </xf>
    <xf borderId="4" fillId="4" fontId="9" numFmtId="164" xfId="0" applyAlignment="1" applyBorder="1" applyFont="1" applyNumberFormat="1">
      <alignment horizontal="right" shrinkToFit="0" vertical="center" wrapText="0"/>
    </xf>
    <xf borderId="9" fillId="13" fontId="21" numFmtId="0" xfId="0" applyAlignment="1" applyBorder="1" applyFont="1">
      <alignment horizontal="left" shrinkToFit="0" vertical="center" wrapText="0"/>
    </xf>
    <xf borderId="4" fillId="13" fontId="37" numFmtId="164" xfId="0" applyAlignment="1" applyBorder="1" applyFont="1" applyNumberFormat="1">
      <alignment horizontal="right" shrinkToFit="0" vertical="center" wrapText="0"/>
    </xf>
    <xf borderId="4" fillId="4" fontId="37" numFmtId="164" xfId="0" applyAlignment="1" applyBorder="1" applyFont="1" applyNumberFormat="1">
      <alignment horizontal="right" shrinkToFit="0" vertical="center" wrapText="0"/>
    </xf>
    <xf borderId="4" fillId="10" fontId="32" numFmtId="164" xfId="0" applyAlignment="1" applyBorder="1" applyFont="1" applyNumberFormat="1">
      <alignment horizontal="right" readingOrder="0" shrinkToFit="0" vertical="center" wrapText="0"/>
    </xf>
    <xf borderId="4" fillId="9" fontId="9" numFmtId="0" xfId="0" applyAlignment="1" applyBorder="1" applyFont="1">
      <alignment horizontal="left" readingOrder="0" shrinkToFit="0" vertical="center" wrapText="0"/>
    </xf>
    <xf borderId="4" fillId="15" fontId="32" numFmtId="164" xfId="0" applyAlignment="1" applyBorder="1" applyFont="1" applyNumberFormat="1">
      <alignment horizontal="right" shrinkToFit="0" vertical="center" wrapText="0"/>
    </xf>
    <xf borderId="9" fillId="10" fontId="34" numFmtId="0" xfId="0" applyAlignment="1" applyBorder="1" applyFont="1">
      <alignment horizontal="center" shrinkToFit="0" vertical="center" wrapText="0"/>
    </xf>
    <xf borderId="9" fillId="7" fontId="21" numFmtId="0" xfId="0" applyAlignment="1" applyBorder="1" applyFont="1">
      <alignment horizontal="left" shrinkToFit="0" vertical="center" wrapText="0"/>
    </xf>
    <xf borderId="4" fillId="7" fontId="37" numFmtId="164" xfId="0" applyAlignment="1" applyBorder="1" applyFont="1" applyNumberFormat="1">
      <alignment horizontal="right" shrinkToFit="0" vertical="center" wrapText="0"/>
    </xf>
    <xf borderId="4" fillId="4" fontId="21" numFmtId="164" xfId="0" applyAlignment="1" applyBorder="1" applyFont="1" applyNumberFormat="1">
      <alignment horizontal="right" shrinkToFit="0" vertical="center" wrapText="0"/>
    </xf>
    <xf borderId="11" fillId="3" fontId="7" numFmtId="0" xfId="0" applyAlignment="1" applyBorder="1" applyFont="1">
      <alignment horizontal="left" shrinkToFit="0" vertical="center" wrapText="0"/>
    </xf>
    <xf borderId="4" fillId="7" fontId="21" numFmtId="164" xfId="0" applyAlignment="1" applyBorder="1" applyFont="1" applyNumberFormat="1">
      <alignment horizontal="right" shrinkToFit="0" vertical="center" wrapText="0"/>
    </xf>
    <xf borderId="12" fillId="0" fontId="3" numFmtId="0" xfId="0" applyBorder="1" applyFont="1"/>
    <xf borderId="13" fillId="0" fontId="3" numFmtId="0" xfId="0" applyBorder="1" applyFont="1"/>
    <xf borderId="14" fillId="15" fontId="21" numFmtId="0" xfId="0" applyAlignment="1" applyBorder="1" applyFont="1">
      <alignment horizontal="left" shrinkToFit="0" vertical="center" wrapText="0"/>
    </xf>
    <xf borderId="13" fillId="0" fontId="1" numFmtId="0" xfId="0" applyAlignment="1" applyBorder="1" applyFont="1">
      <alignment shrinkToFit="0" vertical="bottom" wrapText="0"/>
    </xf>
    <xf borderId="4" fillId="15" fontId="21" numFmtId="164" xfId="0" applyAlignment="1" applyBorder="1" applyFont="1" applyNumberFormat="1">
      <alignment horizontal="right" shrinkToFit="0" vertical="center" wrapText="0"/>
    </xf>
    <xf borderId="9" fillId="6" fontId="21" numFmtId="0" xfId="0" applyAlignment="1" applyBorder="1" applyFont="1">
      <alignment horizontal="left" shrinkToFit="0" vertical="center" wrapText="0"/>
    </xf>
    <xf borderId="4" fillId="6" fontId="21" numFmtId="164" xfId="0" applyAlignment="1" applyBorder="1" applyFont="1" applyNumberFormat="1">
      <alignment horizontal="right" shrinkToFit="0" vertical="center" wrapText="0"/>
    </xf>
    <xf borderId="1" fillId="2" fontId="7" numFmtId="0" xfId="0" applyAlignment="1" applyBorder="1" applyFont="1">
      <alignment horizontal="left" shrinkToFit="0" vertical="center" wrapText="0"/>
    </xf>
    <xf borderId="9" fillId="10" fontId="15" numFmtId="0" xfId="0" applyAlignment="1" applyBorder="1" applyFont="1">
      <alignment horizontal="left" shrinkToFit="0" vertical="center" wrapText="0"/>
    </xf>
    <xf borderId="4" fillId="10" fontId="23" numFmtId="164" xfId="0" applyAlignment="1" applyBorder="1" applyFont="1" applyNumberFormat="1">
      <alignment horizontal="right" shrinkToFit="0" vertical="center" wrapText="0"/>
    </xf>
    <xf borderId="9" fillId="7" fontId="15" numFmtId="0" xfId="0" applyAlignment="1" applyBorder="1" applyFont="1">
      <alignment horizontal="left" shrinkToFit="0" vertical="center" wrapText="0"/>
    </xf>
    <xf borderId="14" fillId="15" fontId="15" numFmtId="0" xfId="0" applyAlignment="1" applyBorder="1" applyFont="1">
      <alignment horizontal="left" shrinkToFit="0" vertical="center" wrapText="0"/>
    </xf>
    <xf borderId="4" fillId="15" fontId="38" numFmtId="164" xfId="0" applyAlignment="1" applyBorder="1" applyFont="1" applyNumberFormat="1">
      <alignment horizontal="right" shrinkToFit="0" vertical="center" wrapText="0"/>
    </xf>
    <xf borderId="4" fillId="15" fontId="39" numFmtId="164" xfId="0" applyAlignment="1" applyBorder="1" applyFont="1" applyNumberFormat="1">
      <alignment horizontal="right" shrinkToFit="0" vertical="center" wrapText="0"/>
    </xf>
    <xf borderId="14" fillId="13" fontId="21" numFmtId="0" xfId="0" applyAlignment="1" applyBorder="1" applyFont="1">
      <alignment horizontal="left" shrinkToFit="0" vertical="center" wrapText="0"/>
    </xf>
    <xf borderId="4" fillId="4" fontId="30" numFmtId="164" xfId="0" applyAlignment="1" applyBorder="1" applyFont="1" applyNumberFormat="1">
      <alignment horizontal="right" shrinkToFit="0" vertical="center" wrapText="0"/>
    </xf>
    <xf borderId="9" fillId="9" fontId="40" numFmtId="0" xfId="0" applyAlignment="1" applyBorder="1" applyFont="1">
      <alignment horizontal="left" shrinkToFit="0" vertical="center" wrapText="0"/>
    </xf>
    <xf borderId="9" fillId="10" fontId="40" numFmtId="0" xfId="0" applyAlignment="1" applyBorder="1" applyFont="1">
      <alignment horizontal="left" shrinkToFit="0" vertical="center" wrapText="0"/>
    </xf>
    <xf borderId="4" fillId="10" fontId="9" numFmtId="165" xfId="0" applyAlignment="1" applyBorder="1" applyFont="1" applyNumberFormat="1">
      <alignment horizontal="right" shrinkToFit="0" vertical="center" wrapText="0"/>
    </xf>
    <xf borderId="4" fillId="9" fontId="32" numFmtId="10" xfId="0" applyAlignment="1" applyBorder="1" applyFont="1" applyNumberFormat="1">
      <alignment horizontal="right" shrinkToFit="0" vertical="center" wrapText="0"/>
    </xf>
    <xf borderId="4" fillId="9" fontId="32" numFmtId="1" xfId="0" applyAlignment="1" applyBorder="1" applyFont="1" applyNumberFormat="1">
      <alignment horizontal="right" shrinkToFit="0" vertical="center" wrapText="0"/>
    </xf>
    <xf borderId="4" fillId="10" fontId="32" numFmtId="49" xfId="0" applyAlignment="1" applyBorder="1" applyFont="1" applyNumberFormat="1">
      <alignment horizontal="right" shrinkToFit="0" vertical="center" wrapText="0"/>
    </xf>
    <xf borderId="4" fillId="9" fontId="9" numFmtId="49" xfId="0" applyAlignment="1" applyBorder="1" applyFont="1" applyNumberFormat="1">
      <alignment horizontal="right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9" fillId="7" fontId="9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0"/>
    </xf>
    <xf borderId="9" fillId="15" fontId="9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0"/>
    </xf>
    <xf borderId="9" fillId="6" fontId="41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left" shrinkToFit="0" vertical="center" wrapText="0"/>
    </xf>
    <xf borderId="9" fillId="13" fontId="28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17" fontId="6" numFmtId="0" xfId="0" applyAlignment="1" applyBorder="1" applyFill="1" applyFont="1">
      <alignment horizontal="center" shrinkToFit="0" vertical="center" wrapText="1"/>
    </xf>
    <xf borderId="4" fillId="9" fontId="14" numFmtId="164" xfId="0" applyAlignment="1" applyBorder="1" applyFont="1" applyNumberFormat="1">
      <alignment horizontal="right" shrinkToFit="0" vertical="center" wrapText="0"/>
    </xf>
    <xf borderId="4" fillId="9" fontId="16" numFmtId="164" xfId="0" applyAlignment="1" applyBorder="1" applyFont="1" applyNumberFormat="1">
      <alignment horizontal="right" shrinkToFit="0" vertical="center" wrapText="0"/>
    </xf>
    <xf borderId="4" fillId="9" fontId="20" numFmtId="164" xfId="0" applyAlignment="1" applyBorder="1" applyFont="1" applyNumberFormat="1">
      <alignment horizontal="right" shrinkToFit="0" vertical="center" wrapText="0"/>
    </xf>
    <xf borderId="4" fillId="15" fontId="42" numFmtId="164" xfId="0" applyAlignment="1" applyBorder="1" applyFont="1" applyNumberFormat="1">
      <alignment horizontal="right" shrinkToFit="0" vertical="center" wrapText="0"/>
    </xf>
    <xf borderId="4" fillId="13" fontId="43" numFmtId="164" xfId="0" applyAlignment="1" applyBorder="1" applyFont="1" applyNumberFormat="1">
      <alignment horizontal="right" shrinkToFit="0" vertical="center" wrapText="0"/>
    </xf>
    <xf borderId="4" fillId="13" fontId="44" numFmtId="0" xfId="0" applyAlignment="1" applyBorder="1" applyFont="1">
      <alignment horizontal="center" shrinkToFit="0" vertical="center" wrapText="0"/>
    </xf>
    <xf borderId="4" fillId="10" fontId="14" numFmtId="164" xfId="0" applyAlignment="1" applyBorder="1" applyFont="1" applyNumberFormat="1">
      <alignment horizontal="right" shrinkToFit="0" vertical="center" wrapText="0"/>
    </xf>
    <xf borderId="4" fillId="10" fontId="16" numFmtId="164" xfId="0" applyAlignment="1" applyBorder="1" applyFont="1" applyNumberFormat="1">
      <alignment horizontal="right" shrinkToFit="0" vertical="center" wrapText="0"/>
    </xf>
    <xf borderId="4" fillId="10" fontId="20" numFmtId="164" xfId="0" applyAlignment="1" applyBorder="1" applyFont="1" applyNumberFormat="1">
      <alignment horizontal="right" shrinkToFit="0" vertical="center" wrapText="0"/>
    </xf>
    <xf borderId="4" fillId="15" fontId="45" numFmtId="0" xfId="0" applyAlignment="1" applyBorder="1" applyFont="1">
      <alignment horizontal="center" shrinkToFit="0" vertical="center" wrapText="0"/>
    </xf>
    <xf borderId="4" fillId="10" fontId="45" numFmtId="0" xfId="0" applyAlignment="1" applyBorder="1" applyFont="1">
      <alignment horizontal="center" shrinkToFit="0" vertical="center" wrapText="0"/>
    </xf>
    <xf borderId="4" fillId="9" fontId="45" numFmtId="0" xfId="0" applyAlignment="1" applyBorder="1" applyFont="1">
      <alignment horizontal="center" shrinkToFit="0" vertical="center" wrapText="0"/>
    </xf>
    <xf borderId="9" fillId="9" fontId="9" numFmtId="0" xfId="0" applyAlignment="1" applyBorder="1" applyFont="1">
      <alignment horizontal="left" shrinkToFit="0" vertical="center" wrapText="0"/>
    </xf>
    <xf borderId="9" fillId="6" fontId="37" numFmtId="164" xfId="0" applyAlignment="1" applyBorder="1" applyFont="1" applyNumberFormat="1">
      <alignment horizontal="right" shrinkToFit="0" vertical="center" wrapText="0"/>
    </xf>
    <xf borderId="9" fillId="10" fontId="9" numFmtId="0" xfId="0" applyAlignment="1" applyBorder="1" applyFont="1">
      <alignment horizontal="left" shrinkToFit="0" vertical="center" wrapText="0"/>
    </xf>
    <xf borderId="9" fillId="6" fontId="37" numFmtId="1" xfId="0" applyAlignment="1" applyBorder="1" applyFont="1" applyNumberFormat="1">
      <alignment horizontal="right" shrinkToFit="0" vertical="center" wrapText="0"/>
    </xf>
    <xf borderId="9" fillId="6" fontId="37" numFmtId="49" xfId="0" applyAlignment="1" applyBorder="1" applyFont="1" applyNumberFormat="1">
      <alignment horizontal="right" shrinkToFit="0" vertical="center" wrapText="0"/>
    </xf>
    <xf borderId="9" fillId="13" fontId="28" numFmtId="0" xfId="0" applyAlignment="1" applyBorder="1" applyFont="1">
      <alignment horizontal="left" shrinkToFit="0" vertical="center" wrapText="0"/>
    </xf>
    <xf borderId="9" fillId="9" fontId="28" numFmtId="0" xfId="0" applyAlignment="1" applyBorder="1" applyFont="1">
      <alignment horizontal="left" shrinkToFit="0" vertical="center" wrapText="0"/>
    </xf>
    <xf borderId="4" fillId="7" fontId="17" numFmtId="0" xfId="0" applyAlignment="1" applyBorder="1" applyFont="1">
      <alignment horizontal="center" shrinkToFit="0" vertical="center" wrapText="0"/>
    </xf>
    <xf borderId="4" fillId="7" fontId="17" numFmtId="0" xfId="0" applyAlignment="1" applyBorder="1" applyFont="1">
      <alignment horizontal="left" shrinkToFit="0" vertical="center" wrapText="0"/>
    </xf>
    <xf borderId="4" fillId="7" fontId="46" numFmtId="0" xfId="0" applyAlignment="1" applyBorder="1" applyFont="1">
      <alignment horizontal="center"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4" fillId="7" fontId="29" numFmtId="0" xfId="0" applyAlignment="1" applyBorder="1" applyFont="1">
      <alignment horizontal="center" shrinkToFit="0" vertical="center" wrapText="0"/>
    </xf>
    <xf borderId="4" fillId="15" fontId="9" numFmtId="0" xfId="0" applyAlignment="1" applyBorder="1" applyFont="1">
      <alignment horizontal="center" shrinkToFit="0" vertical="center" wrapText="0"/>
    </xf>
    <xf borderId="4" fillId="13" fontId="28" numFmtId="0" xfId="0" applyAlignment="1" applyBorder="1" applyFont="1">
      <alignment horizontal="center" shrinkToFit="0" vertical="center" wrapText="0"/>
    </xf>
    <xf borderId="4" fillId="4" fontId="17" numFmtId="0" xfId="0" applyAlignment="1" applyBorder="1" applyFont="1">
      <alignment horizontal="center" shrinkToFit="0" vertical="center" wrapText="0"/>
    </xf>
    <xf borderId="4" fillId="4" fontId="30" numFmtId="0" xfId="0" applyAlignment="1" applyBorder="1" applyFont="1">
      <alignment horizontal="center" shrinkToFit="0" vertical="center" wrapText="0"/>
    </xf>
    <xf borderId="9" fillId="10" fontId="9" numFmtId="0" xfId="0" applyAlignment="1" applyBorder="1" applyFont="1">
      <alignment horizontal="left" shrinkToFit="0" vertical="center" wrapText="1"/>
    </xf>
    <xf borderId="9" fillId="7" fontId="29" numFmtId="0" xfId="0" applyAlignment="1" applyBorder="1" applyFont="1">
      <alignment horizontal="left" shrinkToFit="0" vertical="center" wrapText="0"/>
    </xf>
    <xf borderId="9" fillId="15" fontId="34" numFmtId="0" xfId="0" applyAlignment="1" applyBorder="1" applyFont="1">
      <alignment horizontal="left" shrinkToFit="0" vertical="center" wrapText="0"/>
    </xf>
    <xf borderId="9" fillId="6" fontId="9" numFmtId="0" xfId="0" applyAlignment="1" applyBorder="1" applyFont="1">
      <alignment horizontal="left" shrinkToFit="0" vertical="center" wrapText="1"/>
    </xf>
    <xf borderId="9" fillId="2" fontId="7" numFmtId="0" xfId="0" applyAlignment="1" applyBorder="1" applyFont="1">
      <alignment horizontal="left" shrinkToFit="0" vertical="center" wrapText="1"/>
    </xf>
    <xf borderId="9" fillId="13" fontId="30" numFmtId="0" xfId="0" applyAlignment="1" applyBorder="1" applyFont="1">
      <alignment horizontal="left" shrinkToFit="0" vertical="center" wrapText="1"/>
    </xf>
    <xf borderId="9" fillId="7" fontId="46" numFmtId="0" xfId="0" applyAlignment="1" applyBorder="1" applyFont="1">
      <alignment horizontal="left" shrinkToFit="0" vertical="center" wrapText="1"/>
    </xf>
    <xf borderId="9" fillId="7" fontId="29" numFmtId="0" xfId="0" applyAlignment="1" applyBorder="1" applyFont="1">
      <alignment horizontal="left" shrinkToFit="0" vertical="center" wrapText="1"/>
    </xf>
    <xf borderId="9" fillId="15" fontId="34" numFmtId="0" xfId="0" applyAlignment="1" applyBorder="1" applyFont="1">
      <alignment horizontal="left" shrinkToFit="0" vertical="center" wrapText="1"/>
    </xf>
    <xf borderId="4" fillId="9" fontId="47" numFmtId="1" xfId="0" applyAlignment="1" applyBorder="1" applyFont="1" applyNumberFormat="1">
      <alignment horizontal="right" shrinkToFit="0" vertical="center" wrapText="0"/>
    </xf>
    <xf borderId="4" fillId="9" fontId="40" numFmtId="0" xfId="0" applyAlignment="1" applyBorder="1" applyFont="1">
      <alignment horizontal="left" shrinkToFit="0" vertical="center" wrapText="0"/>
    </xf>
    <xf borderId="4" fillId="10" fontId="47" numFmtId="1" xfId="0" applyAlignment="1" applyBorder="1" applyFont="1" applyNumberFormat="1">
      <alignment horizontal="right" shrinkToFit="0" vertical="center" wrapText="0"/>
    </xf>
    <xf borderId="4" fillId="10" fontId="40" numFmtId="0" xfId="0" applyAlignment="1" applyBorder="1" applyFont="1">
      <alignment horizontal="left" shrinkToFit="0" vertical="center" wrapText="0"/>
    </xf>
    <xf borderId="4" fillId="10" fontId="47" numFmtId="164" xfId="0" applyAlignment="1" applyBorder="1" applyFont="1" applyNumberFormat="1">
      <alignment horizontal="right" shrinkToFit="0" vertical="center" wrapText="0"/>
    </xf>
    <xf borderId="4" fillId="9" fontId="47" numFmtId="164" xfId="0" applyAlignment="1" applyBorder="1" applyFont="1" applyNumberFormat="1">
      <alignment horizontal="right" shrinkToFit="0" vertical="center" wrapText="0"/>
    </xf>
    <xf borderId="4" fillId="9" fontId="47" numFmtId="165" xfId="0" applyAlignment="1" applyBorder="1" applyFont="1" applyNumberFormat="1">
      <alignment horizontal="right" shrinkToFit="0" vertical="center" wrapText="0"/>
    </xf>
    <xf borderId="4" fillId="10" fontId="47" numFmtId="165" xfId="0" applyAlignment="1" applyBorder="1" applyFont="1" applyNumberFormat="1">
      <alignment horizontal="right" shrinkToFit="0" vertical="center" wrapText="0"/>
    </xf>
    <xf borderId="4" fillId="9" fontId="47" numFmtId="49" xfId="0" applyAlignment="1" applyBorder="1" applyFont="1" applyNumberFormat="1">
      <alignment horizontal="right" shrinkToFit="0" vertical="center" wrapText="0"/>
    </xf>
    <xf borderId="4" fillId="10" fontId="32" numFmtId="1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5" width="20.0"/>
    <col customWidth="1" min="6" max="6" width="30.14"/>
    <col customWidth="1" min="7" max="7" width="3.0"/>
    <col customWidth="1" min="8" max="8" width="30.0"/>
    <col customWidth="1" min="9" max="10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5" t="s">
        <v>1</v>
      </c>
      <c r="C4" s="3"/>
      <c r="D4" s="3"/>
      <c r="E4" s="4"/>
      <c r="F4" s="6" t="s">
        <v>2</v>
      </c>
      <c r="G4" s="3"/>
      <c r="H4" s="3"/>
      <c r="I4" s="3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7" t="s">
        <v>3</v>
      </c>
      <c r="C6" s="4"/>
      <c r="D6" s="8" t="s">
        <v>4</v>
      </c>
      <c r="E6" s="4"/>
      <c r="F6" s="9" t="s">
        <v>5</v>
      </c>
      <c r="G6" s="4"/>
      <c r="H6" s="10" t="s">
        <v>6</v>
      </c>
      <c r="I6" s="3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>'⚙️ Assumptions'!C9+'⚙️ Assumptions'!C33+'⚙️ Assumptions'!C36+'⚙️ Assumptions'!C34+'⚙️ Assumptions'!C35-'⚙️ Assumptions'!C28</f>
        <v>5389406</v>
      </c>
      <c r="C7" s="4"/>
      <c r="D7" s="12" t="str">
        <f>'🏠 Home Loan Tracker'!I9</f>
        <v/>
      </c>
      <c r="E7" s="4"/>
      <c r="F7" s="13">
        <f>'⚙️ Assumptions'!C33</f>
        <v>1065000</v>
      </c>
      <c r="G7" s="4"/>
      <c r="H7" s="14" t="s">
        <v>7</v>
      </c>
      <c r="I7" s="15" t="str">
        <f>'🏠 Home Loan Tracker'!C316</f>
        <v>15-Sep-2049</v>
      </c>
      <c r="J7" s="16" t="s">
        <v>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7" t="s">
        <v>9</v>
      </c>
      <c r="C8" s="4"/>
      <c r="D8" s="18" t="s">
        <v>10</v>
      </c>
      <c r="E8" s="4"/>
      <c r="F8" s="19" t="s">
        <v>11</v>
      </c>
      <c r="G8" s="4"/>
      <c r="H8" s="20" t="s">
        <v>12</v>
      </c>
      <c r="I8" s="21" t="str">
        <f>'🏠 Home Loan Tracker'!C317</f>
        <v>15-Oct-2049</v>
      </c>
      <c r="J8" s="22" t="s">
        <v>13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1"/>
      <c r="H9" s="14" t="s">
        <v>14</v>
      </c>
      <c r="I9" s="23">
        <f>'⚙️ Assumptions'!C10+'⚙️ Assumptions'!C11</f>
        <v>2000000</v>
      </c>
      <c r="J9" s="16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24" t="s">
        <v>16</v>
      </c>
      <c r="C10" s="4"/>
      <c r="D10" s="9" t="s">
        <v>17</v>
      </c>
      <c r="E10" s="4"/>
      <c r="F10" s="25" t="s">
        <v>18</v>
      </c>
      <c r="G10" s="4"/>
      <c r="H10" s="20" t="s">
        <v>19</v>
      </c>
      <c r="I10" s="26">
        <f>'⚙️ Assumptions'!C18</f>
        <v>0.035</v>
      </c>
      <c r="J10" s="22" t="s">
        <v>20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27">
        <f>'⚙️ Assumptions'!C26-57000-32000-86000</f>
        <v>92000</v>
      </c>
      <c r="C11" s="4"/>
      <c r="D11" s="13">
        <f>'⚙️ Assumptions'!C37</f>
        <v>75000</v>
      </c>
      <c r="E11" s="4"/>
      <c r="F11" s="28" t="str">
        <f>IFERROR(('⚙️ Assumptions'!C9+'⚙️ Assumptions'!C33+'⚙️ Assumptions'!C35-'⚙️ Assumptions'!C28)*100/'⚙️ Assumptions'!C38,0)&amp;"%"</f>
        <v>8.77401%</v>
      </c>
      <c r="G11" s="4"/>
      <c r="H11" s="14" t="s">
        <v>21</v>
      </c>
      <c r="I11" s="29">
        <f>'⚙️ Assumptions'!C17</f>
        <v>0.12</v>
      </c>
      <c r="J11" s="16" t="s">
        <v>20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30" t="s">
        <v>22</v>
      </c>
      <c r="C12" s="4"/>
      <c r="D12" s="19" t="s">
        <v>23</v>
      </c>
      <c r="E12" s="4"/>
      <c r="F12" s="31" t="s">
        <v>24</v>
      </c>
      <c r="G12" s="4"/>
      <c r="H12" s="20" t="s">
        <v>25</v>
      </c>
      <c r="I12" s="26">
        <f>'⚙️ Assumptions'!C16</f>
        <v>0.06</v>
      </c>
      <c r="J12" s="22" t="s">
        <v>20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4" t="s">
        <v>26</v>
      </c>
      <c r="I13" s="23">
        <f>'⚙️ Assumptions'!C36</f>
        <v>45000</v>
      </c>
      <c r="J13" s="16" t="s">
        <v>15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0" t="s">
        <v>27</v>
      </c>
      <c r="C14" s="3"/>
      <c r="D14" s="3"/>
      <c r="E14" s="3"/>
      <c r="F14" s="4"/>
      <c r="G14" s="1"/>
      <c r="H14" s="20" t="s">
        <v>28</v>
      </c>
      <c r="I14" s="32" t="s">
        <v>29</v>
      </c>
      <c r="J14" s="22" t="s">
        <v>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33" t="s">
        <v>30</v>
      </c>
      <c r="C15" s="33" t="s">
        <v>31</v>
      </c>
      <c r="D15" s="33" t="s">
        <v>32</v>
      </c>
      <c r="E15" s="33" t="s">
        <v>33</v>
      </c>
      <c r="F15" s="33" t="s">
        <v>34</v>
      </c>
      <c r="G15" s="1"/>
      <c r="H15" s="14" t="s">
        <v>35</v>
      </c>
      <c r="I15" s="15">
        <f>'⚙️ Assumptions'!C37</f>
        <v>75000</v>
      </c>
      <c r="J15" s="16" t="s">
        <v>36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4" t="s">
        <v>37</v>
      </c>
      <c r="C16" s="34">
        <f>'⚙️ Assumptions'!C9</f>
        <v>11000000</v>
      </c>
      <c r="D16" s="35" t="s">
        <v>38</v>
      </c>
      <c r="E16" s="36" t="s">
        <v>39</v>
      </c>
      <c r="F16" s="37"/>
      <c r="G16" s="1"/>
      <c r="H16" s="20" t="s">
        <v>40</v>
      </c>
      <c r="I16" s="32">
        <f>'⚙️ Assumptions'!C38</f>
        <v>60000000</v>
      </c>
      <c r="J16" s="22" t="s">
        <v>15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38" t="s">
        <v>41</v>
      </c>
      <c r="C17" s="39">
        <f>'⚙️ Assumptions'!C8</f>
        <v>11000000</v>
      </c>
      <c r="D17" s="40" t="s">
        <v>42</v>
      </c>
      <c r="E17" s="41" t="s">
        <v>43</v>
      </c>
      <c r="F17" s="42"/>
      <c r="G17" s="1"/>
      <c r="H17" s="14" t="s">
        <v>44</v>
      </c>
      <c r="I17" s="15">
        <f>'⚙️ Assumptions'!C6-'⚙️ Assumptions'!C5</f>
        <v>18</v>
      </c>
      <c r="J17" s="16" t="s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38" t="s">
        <v>46</v>
      </c>
      <c r="C18" s="39">
        <f>'⚙️ Assumptions'!C9-'⚙️ Assumptions'!C8</f>
        <v>0</v>
      </c>
      <c r="D18" s="40" t="s">
        <v>47</v>
      </c>
      <c r="E18" s="41" t="s">
        <v>48</v>
      </c>
      <c r="F18" s="4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3" t="s">
        <v>49</v>
      </c>
      <c r="C19" s="44">
        <f>-'⚙️ Assumptions'!C28</f>
        <v>-6860594</v>
      </c>
      <c r="D19" s="45" t="s">
        <v>50</v>
      </c>
      <c r="E19" s="46" t="s">
        <v>51</v>
      </c>
      <c r="F19" s="4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4" t="s">
        <v>52</v>
      </c>
      <c r="C20" s="34">
        <f>'⚙️ Assumptions'!C9-'⚙️ Assumptions'!C28</f>
        <v>4139406</v>
      </c>
      <c r="D20" s="35" t="s">
        <v>53</v>
      </c>
      <c r="E20" s="36"/>
      <c r="F20" s="37"/>
      <c r="G20" s="1"/>
      <c r="H20" s="48" t="s">
        <v>54</v>
      </c>
      <c r="I20" s="3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20" t="s">
        <v>55</v>
      </c>
      <c r="C21" s="49">
        <f>'⚙️ Assumptions'!C33</f>
        <v>1065000</v>
      </c>
      <c r="D21" s="50" t="s">
        <v>56</v>
      </c>
      <c r="E21" s="51" t="s">
        <v>57</v>
      </c>
      <c r="F21" s="52"/>
      <c r="G21" s="1"/>
      <c r="H21" s="38" t="s">
        <v>58</v>
      </c>
      <c r="I21" s="53">
        <f>'⚙️ Assumptions'!C10</f>
        <v>1000000</v>
      </c>
      <c r="J21" s="42" t="s">
        <v>59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4" t="s">
        <v>60</v>
      </c>
      <c r="C22" s="34">
        <f>'⚙️ Assumptions'!C34</f>
        <v>80000</v>
      </c>
      <c r="D22" s="35" t="s">
        <v>61</v>
      </c>
      <c r="E22" s="36" t="s">
        <v>62</v>
      </c>
      <c r="F22" s="54" t="s">
        <v>63</v>
      </c>
      <c r="G22" s="1"/>
      <c r="H22" s="38" t="s">
        <v>64</v>
      </c>
      <c r="I22" s="53">
        <f>'⚙️ Assumptions'!C11</f>
        <v>1000000</v>
      </c>
      <c r="J22" s="42" t="s">
        <v>59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20" t="s">
        <v>65</v>
      </c>
      <c r="C23" s="49">
        <f>'⚙️ Assumptions'!C35</f>
        <v>60000</v>
      </c>
      <c r="D23" s="50" t="s">
        <v>66</v>
      </c>
      <c r="E23" s="51" t="s">
        <v>67</v>
      </c>
      <c r="F23" s="55" t="s">
        <v>63</v>
      </c>
      <c r="G23" s="1"/>
      <c r="H23" s="56" t="s">
        <v>68</v>
      </c>
      <c r="I23" s="57">
        <f>'⚙️ Assumptions'!C10+'⚙️ Assumptions'!C11</f>
        <v>2000000</v>
      </c>
      <c r="J23" s="58" t="s">
        <v>69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4" t="s">
        <v>70</v>
      </c>
      <c r="C24" s="34">
        <f>'⚙️ Assumptions'!C36</f>
        <v>45000</v>
      </c>
      <c r="D24" s="35" t="s">
        <v>71</v>
      </c>
      <c r="E24" s="36" t="s">
        <v>72</v>
      </c>
      <c r="F24" s="59" t="s">
        <v>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43" t="s">
        <v>74</v>
      </c>
      <c r="C25" s="44" t="s">
        <v>75</v>
      </c>
      <c r="D25" s="45" t="s">
        <v>76</v>
      </c>
      <c r="E25" s="46" t="s">
        <v>77</v>
      </c>
      <c r="F25" s="4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43" t="s">
        <v>78</v>
      </c>
      <c r="C26" s="44" t="s">
        <v>79</v>
      </c>
      <c r="D26" s="45" t="s">
        <v>76</v>
      </c>
      <c r="E26" s="46" t="s">
        <v>80</v>
      </c>
      <c r="F26" s="4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60" t="s">
        <v>81</v>
      </c>
      <c r="C27" s="61"/>
      <c r="D27" s="62">
        <f>'⚙️ Assumptions'!C9+'⚙️ Assumptions'!C33+'⚙️ Assumptions'!C34+'⚙️ Assumptions'!C35+'⚙️ Assumptions'!C36-'⚙️ Assumptions'!C28</f>
        <v>5389406</v>
      </c>
      <c r="E27" s="63" t="s">
        <v>82</v>
      </c>
      <c r="F27" s="6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0" t="s">
        <v>83</v>
      </c>
      <c r="C29" s="3"/>
      <c r="D29" s="3"/>
      <c r="E29" s="3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33" t="s">
        <v>84</v>
      </c>
      <c r="C30" s="33" t="s">
        <v>85</v>
      </c>
      <c r="D30" s="33" t="s">
        <v>86</v>
      </c>
      <c r="E30" s="33" t="s">
        <v>85</v>
      </c>
      <c r="F30" s="33" t="s">
        <v>87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4" t="s">
        <v>88</v>
      </c>
      <c r="C31" s="65">
        <f>'⚙️ Assumptions'!C26</f>
        <v>267000</v>
      </c>
      <c r="D31" s="43" t="s">
        <v>89</v>
      </c>
      <c r="E31" s="66">
        <f>57000+12000+20000+2000+2000+5000</f>
        <v>98000</v>
      </c>
      <c r="F31" s="6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64" t="s">
        <v>90</v>
      </c>
      <c r="C32" s="65">
        <f>'⚙️ Assumptions'!C27</f>
        <v>38000</v>
      </c>
      <c r="D32" s="43" t="s">
        <v>91</v>
      </c>
      <c r="E32" s="66">
        <f>40000+8000+1500+1000+15000+8000+3000+3000+5000</f>
        <v>84500</v>
      </c>
      <c r="F32" s="6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43" t="s">
        <v>92</v>
      </c>
      <c r="E33" s="66">
        <f>'⚙️ Assumptions'!C37</f>
        <v>75000</v>
      </c>
      <c r="F33" s="6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9" t="s">
        <v>93</v>
      </c>
      <c r="C34" s="70"/>
      <c r="D34" s="61"/>
      <c r="E34" s="71">
        <f>'⚙️ Assumptions'!C26-57000-32000-86000</f>
        <v>92000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72" t="s">
        <v>94</v>
      </c>
      <c r="C36" s="3"/>
      <c r="D36" s="3"/>
      <c r="E36" s="3"/>
      <c r="F36" s="3"/>
      <c r="G36" s="3"/>
      <c r="H36" s="3"/>
      <c r="I36" s="3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B2:J2"/>
    <mergeCell ref="B4:E4"/>
    <mergeCell ref="F4:J4"/>
    <mergeCell ref="B6:C6"/>
    <mergeCell ref="D6:E6"/>
    <mergeCell ref="F6:G6"/>
    <mergeCell ref="H6:J6"/>
    <mergeCell ref="D10:E10"/>
    <mergeCell ref="F10:G10"/>
    <mergeCell ref="B7:C7"/>
    <mergeCell ref="D7:E7"/>
    <mergeCell ref="F7:G7"/>
    <mergeCell ref="B8:C8"/>
    <mergeCell ref="D8:E8"/>
    <mergeCell ref="F8:G8"/>
    <mergeCell ref="B10:C10"/>
    <mergeCell ref="B12:C12"/>
    <mergeCell ref="B27:C27"/>
    <mergeCell ref="E27:F27"/>
    <mergeCell ref="B29:F29"/>
    <mergeCell ref="B34:D34"/>
    <mergeCell ref="B36:J36"/>
    <mergeCell ref="B11:C11"/>
    <mergeCell ref="D11:E11"/>
    <mergeCell ref="F11:G11"/>
    <mergeCell ref="D12:E12"/>
    <mergeCell ref="F12:G12"/>
    <mergeCell ref="B14:F14"/>
    <mergeCell ref="H20:J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.0"/>
    <col customWidth="1" min="2" max="2" width="26.14"/>
    <col customWidth="1" min="3" max="3" width="8.0"/>
    <col customWidth="1" min="4" max="4" width="54.86"/>
    <col customWidth="1" min="5" max="13" width="1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73" t="s">
        <v>95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0" t="s">
        <v>96</v>
      </c>
      <c r="C4" s="3"/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74" t="s">
        <v>97</v>
      </c>
      <c r="C5" s="75">
        <f>'⚙️ Assumptions'!C16</f>
        <v>0.06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76" t="s">
        <v>98</v>
      </c>
      <c r="C6" s="77">
        <f>'⚙️ Assumptions'!C17</f>
        <v>0.12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74" t="s">
        <v>99</v>
      </c>
      <c r="C7" s="75">
        <f>'⚙️ Assumptions'!C18</f>
        <v>0.035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76" t="s">
        <v>100</v>
      </c>
      <c r="C8" s="77">
        <f>'⚙️ Assumptions'!C21</f>
        <v>0.1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74" t="s">
        <v>101</v>
      </c>
      <c r="C9" s="75">
        <f>'⚙️ Assumptions'!C19</f>
        <v>0.05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76" t="s">
        <v>102</v>
      </c>
      <c r="C10" s="77">
        <f>'⚙️ Assumptions'!C20</f>
        <v>0.08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"/>
      <c r="B12" s="33" t="s">
        <v>103</v>
      </c>
      <c r="C12" s="33" t="s">
        <v>104</v>
      </c>
      <c r="D12" s="33" t="s">
        <v>105</v>
      </c>
      <c r="E12" s="33" t="s">
        <v>106</v>
      </c>
      <c r="F12" s="33" t="s">
        <v>107</v>
      </c>
      <c r="G12" s="33" t="s">
        <v>108</v>
      </c>
      <c r="H12" s="33" t="s">
        <v>109</v>
      </c>
      <c r="I12" s="33" t="s">
        <v>110</v>
      </c>
      <c r="J12" s="33" t="s">
        <v>111</v>
      </c>
      <c r="K12" s="33" t="s">
        <v>112</v>
      </c>
      <c r="L12" s="33" t="s">
        <v>113</v>
      </c>
      <c r="M12" s="33" t="s">
        <v>114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78" t="s">
        <v>115</v>
      </c>
      <c r="C13" s="79">
        <v>32.0</v>
      </c>
      <c r="D13" s="80" t="s">
        <v>116</v>
      </c>
      <c r="E13" s="81">
        <f>'⚙️ Assumptions'!C26*12</f>
        <v>3204000</v>
      </c>
      <c r="F13" s="81">
        <f>2120000*(1+'⚙️ Assumptions'!C16)^0</f>
        <v>2120000</v>
      </c>
      <c r="G13" s="82">
        <f t="shared" ref="G13:G30" si="1">E13-F13</f>
        <v>1084000</v>
      </c>
      <c r="H13" s="81">
        <f>'⚙️ Assumptions'!C37</f>
        <v>75000</v>
      </c>
      <c r="I13" s="82">
        <f>'⚙️ Assumptions'!C33*(1+'⚙️ Assumptions'!C17)+H13*12</f>
        <v>2092800</v>
      </c>
      <c r="J13" s="81">
        <f>'⚙️ Assumptions'!C9*(1+'⚙️ Assumptions'!C18)</f>
        <v>11385000</v>
      </c>
      <c r="K13" s="83">
        <f>MAX(0,'⚙️ Assumptions'!C28-('⚙️ Assumptions'!C32*12-'⚙️ Assumptions'!C28*'⚙️ Assumptions'!C22))</f>
        <v>6673481.362</v>
      </c>
      <c r="L13" s="84">
        <f>I13+J13-K13+'⚙️ Assumptions'!C34+'⚙️ Assumptions'!C35+'⚙️ Assumptions'!C36</f>
        <v>6989318.638</v>
      </c>
      <c r="M13" s="85">
        <f>IFERROR(L13/'⚙️ Assumptions'!C38,0)</f>
        <v>0.116488644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78" t="s">
        <v>117</v>
      </c>
      <c r="C14" s="79">
        <v>33.0</v>
      </c>
      <c r="D14" s="80" t="s">
        <v>118</v>
      </c>
      <c r="E14" s="81">
        <f>'⚙️ Assumptions'!C26*12*(1+'⚙️ Assumptions'!C19)^1+'⚙️ Assumptions'!C27*12</f>
        <v>3820200</v>
      </c>
      <c r="F14" s="81">
        <f>2120000*(1+'⚙️ Assumptions'!C16)^1</f>
        <v>2247200</v>
      </c>
      <c r="G14" s="82">
        <f t="shared" si="1"/>
        <v>1573000</v>
      </c>
      <c r="H14" s="81">
        <f>H13*(1+'⚙️ Assumptions'!C21)</f>
        <v>82500</v>
      </c>
      <c r="I14" s="82">
        <f>I13*(1+'⚙️ Assumptions'!C17)+H14*12</f>
        <v>3333936</v>
      </c>
      <c r="J14" s="81">
        <f>J13*(1+'⚙️ Assumptions'!C18)</f>
        <v>11783475</v>
      </c>
      <c r="K14" s="83">
        <f>MAX(0,K13-('⚙️ Assumptions'!C32*12-K13*'⚙️ Assumptions'!C22))</f>
        <v>6472709.501</v>
      </c>
      <c r="L14" s="84">
        <f>I14+J14-K14+'⚙️ Assumptions'!C34+'⚙️ Assumptions'!C35+'⚙️ Assumptions'!C36</f>
        <v>8829701.499</v>
      </c>
      <c r="M14" s="85">
        <f>IFERROR(L14/'⚙️ Assumptions'!C38,0)</f>
        <v>0.1471616916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78" t="s">
        <v>119</v>
      </c>
      <c r="C15" s="79">
        <v>34.0</v>
      </c>
      <c r="D15" s="80" t="s">
        <v>120</v>
      </c>
      <c r="E15" s="81">
        <f>'⚙️ Assumptions'!C26*12*(1+'⚙️ Assumptions'!C19)^2+'⚙️ Assumptions'!C27*12</f>
        <v>3988410</v>
      </c>
      <c r="F15" s="81">
        <f>2120000*(1+'⚙️ Assumptions'!C16)^2+'⚙️ Assumptions'!C10</f>
        <v>3382032</v>
      </c>
      <c r="G15" s="82">
        <f t="shared" si="1"/>
        <v>606378</v>
      </c>
      <c r="H15" s="81">
        <f>H14*(1+'⚙️ Assumptions'!C21)</f>
        <v>90750</v>
      </c>
      <c r="I15" s="82">
        <f>I14*(1+'⚙️ Assumptions'!C17)+H15*12</f>
        <v>4823008.32</v>
      </c>
      <c r="J15" s="81">
        <f>J14*(1+'⚙️ Assumptions'!C18)</f>
        <v>12195896.63</v>
      </c>
      <c r="K15" s="83">
        <f>MAX(0,K14-('⚙️ Assumptions'!C32*12-K14*'⚙️ Assumptions'!C22))</f>
        <v>6257281.295</v>
      </c>
      <c r="L15" s="84">
        <f>I15+J15-K15+'⚙️ Assumptions'!C34+'⚙️ Assumptions'!C35+'⚙️ Assumptions'!C36</f>
        <v>10946623.65</v>
      </c>
      <c r="M15" s="85">
        <f>IFERROR(L15/'⚙️ Assumptions'!C38,0)</f>
        <v>0.1824437275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78" t="s">
        <v>121</v>
      </c>
      <c r="C16" s="79">
        <v>35.0</v>
      </c>
      <c r="D16" s="80" t="s">
        <v>122</v>
      </c>
      <c r="E16" s="81">
        <f>'⚙️ Assumptions'!C26*12*(1+'⚙️ Assumptions'!C19)^3+'⚙️ Assumptions'!C27*12</f>
        <v>4165030.5</v>
      </c>
      <c r="F16" s="81">
        <f>2120000*(1+'⚙️ Assumptions'!C16)^3</f>
        <v>2524953.92</v>
      </c>
      <c r="G16" s="82">
        <f t="shared" si="1"/>
        <v>1640076.58</v>
      </c>
      <c r="H16" s="81">
        <f>H15*(1+'⚙️ Assumptions'!C21)</f>
        <v>99825</v>
      </c>
      <c r="I16" s="82">
        <f>I15*(1+'⚙️ Assumptions'!C17)+H16*12</f>
        <v>6599669.318</v>
      </c>
      <c r="J16" s="81">
        <f>J15*(1+'⚙️ Assumptions'!C18)</f>
        <v>12622753.01</v>
      </c>
      <c r="K16" s="83">
        <f>MAX(0,K15-('⚙️ Assumptions'!C32*12-K15*'⚙️ Assumptions'!C22))</f>
        <v>6026126.83</v>
      </c>
      <c r="L16" s="84">
        <f>I16+J16-K16+'⚙️ Assumptions'!C34+'⚙️ Assumptions'!C35+'⚙️ Assumptions'!C36</f>
        <v>13381295.5</v>
      </c>
      <c r="M16" s="85">
        <f>IFERROR(L16/'⚙️ Assumptions'!C38,0)</f>
        <v>0.2230215916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86" t="s">
        <v>123</v>
      </c>
      <c r="C17" s="87">
        <v>36.0</v>
      </c>
      <c r="D17" s="88" t="s">
        <v>124</v>
      </c>
      <c r="E17" s="89">
        <f>3500000*(1+'⚙️ Assumptions'!C20)^0+'⚙️ Assumptions'!C27*12</f>
        <v>3956000</v>
      </c>
      <c r="F17" s="89">
        <f>2120000*(1+'⚙️ Assumptions'!C16)^4+'⚙️ Assumptions'!C11</f>
        <v>3676451.155</v>
      </c>
      <c r="G17" s="90">
        <f t="shared" si="1"/>
        <v>279548.8448</v>
      </c>
      <c r="H17" s="89">
        <f>H16*(1+'⚙️ Assumptions'!C21)</f>
        <v>109807.5</v>
      </c>
      <c r="I17" s="90">
        <f>I16*(1+'⚙️ Assumptions'!C17)+H17*12</f>
        <v>8709319.637</v>
      </c>
      <c r="J17" s="89">
        <f>J16*(1+'⚙️ Assumptions'!C18)</f>
        <v>13064549.36</v>
      </c>
      <c r="K17" s="91">
        <f>MAX(0,K16-('⚙️ Assumptions'!C32*12-K16*'⚙️ Assumptions'!C22))</f>
        <v>5778098.088</v>
      </c>
      <c r="L17" s="92">
        <f>I17+J17-K17+'⚙️ Assumptions'!C34+'⚙️ Assumptions'!C35+'⚙️ Assumptions'!C36</f>
        <v>16180770.91</v>
      </c>
      <c r="M17" s="93">
        <f>IFERROR(L17/'⚙️ Assumptions'!C38,0)</f>
        <v>0.2696795152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86" t="s">
        <v>125</v>
      </c>
      <c r="C18" s="87">
        <v>37.0</v>
      </c>
      <c r="D18" s="88" t="s">
        <v>126</v>
      </c>
      <c r="E18" s="89">
        <f>3500000*(1+'⚙️ Assumptions'!C20)^1+'⚙️ Assumptions'!C27*12</f>
        <v>4236000</v>
      </c>
      <c r="F18" s="89">
        <f>2120000*(1+'⚙️ Assumptions'!C16)^5</f>
        <v>2837038.225</v>
      </c>
      <c r="G18" s="90">
        <f t="shared" si="1"/>
        <v>1398961.775</v>
      </c>
      <c r="H18" s="89">
        <f>H17*(1+'⚙️ Assumptions'!C21)</f>
        <v>120788.25</v>
      </c>
      <c r="I18" s="90">
        <f>I17*(1+'⚙️ Assumptions'!C17)+H18*12</f>
        <v>11203896.99</v>
      </c>
      <c r="J18" s="89">
        <f>J17*(1+'⚙️ Assumptions'!C18)</f>
        <v>13521808.59</v>
      </c>
      <c r="K18" s="91">
        <f>MAX(0,K17-('⚙️ Assumptions'!C32*12-K17*'⚙️ Assumptions'!C22))</f>
        <v>5511963.249</v>
      </c>
      <c r="L18" s="92">
        <f>I18+J18-K18+'⚙️ Assumptions'!C34+'⚙️ Assumptions'!C35+'⚙️ Assumptions'!C36</f>
        <v>19398742.33</v>
      </c>
      <c r="M18" s="93">
        <f>IFERROR(L18/'⚙️ Assumptions'!C38,0)</f>
        <v>0.3233123722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86" t="s">
        <v>127</v>
      </c>
      <c r="C19" s="87">
        <v>38.0</v>
      </c>
      <c r="D19" s="88" t="s">
        <v>128</v>
      </c>
      <c r="E19" s="89">
        <f>3500000*(1+'⚙️ Assumptions'!C20)^2+'⚙️ Assumptions'!C27*12</f>
        <v>4538400</v>
      </c>
      <c r="F19" s="89">
        <f>2120000*(1+'⚙️ Assumptions'!C16)^6</f>
        <v>3007260.518</v>
      </c>
      <c r="G19" s="90">
        <f t="shared" si="1"/>
        <v>1531139.482</v>
      </c>
      <c r="H19" s="89">
        <f>H18*(1+'⚙️ Assumptions'!C21)</f>
        <v>132867.075</v>
      </c>
      <c r="I19" s="90">
        <f>I18*(1+'⚙️ Assumptions'!C17)+H19*12</f>
        <v>14142769.53</v>
      </c>
      <c r="J19" s="89">
        <f>J18*(1+'⚙️ Assumptions'!C18)</f>
        <v>13995071.89</v>
      </c>
      <c r="K19" s="91">
        <f>MAX(0,K18-('⚙️ Assumptions'!C32*12-K18*'⚙️ Assumptions'!C22))</f>
        <v>5226400.566</v>
      </c>
      <c r="L19" s="92">
        <f>I19+J19-K19+'⚙️ Assumptions'!C34+'⚙️ Assumptions'!C35+'⚙️ Assumptions'!C36</f>
        <v>23096440.86</v>
      </c>
      <c r="M19" s="93">
        <f>IFERROR(L19/'⚙️ Assumptions'!C38,0)</f>
        <v>0.3849406809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86" t="s">
        <v>129</v>
      </c>
      <c r="C20" s="87">
        <v>39.0</v>
      </c>
      <c r="D20" s="88" t="s">
        <v>130</v>
      </c>
      <c r="E20" s="89">
        <f>3500000*(1+'⚙️ Assumptions'!C20)^3+'⚙️ Assumptions'!C27*12</f>
        <v>4864992</v>
      </c>
      <c r="F20" s="89">
        <f>2120000*(1+'⚙️ Assumptions'!C16)^7</f>
        <v>3187696.149</v>
      </c>
      <c r="G20" s="90">
        <f t="shared" si="1"/>
        <v>1677295.851</v>
      </c>
      <c r="H20" s="89">
        <f>H19*(1+'⚙️ Assumptions'!C21)</f>
        <v>146153.7825</v>
      </c>
      <c r="I20" s="90">
        <f>I19*(1+'⚙️ Assumptions'!C17)+H20*12</f>
        <v>17593747.27</v>
      </c>
      <c r="J20" s="89">
        <f>J19*(1+'⚙️ Assumptions'!C18)</f>
        <v>14484899.41</v>
      </c>
      <c r="K20" s="91">
        <f>MAX(0,K19-('⚙️ Assumptions'!C32*12-K19*'⚙️ Assumptions'!C22))</f>
        <v>4919991.807</v>
      </c>
      <c r="L20" s="92">
        <f>I20+J20-K20+'⚙️ Assumptions'!C34+'⚙️ Assumptions'!C35+'⚙️ Assumptions'!C36</f>
        <v>27343654.87</v>
      </c>
      <c r="M20" s="93">
        <f>IFERROR(L20/'⚙️ Assumptions'!C38,0)</f>
        <v>0.4557275811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86" t="s">
        <v>131</v>
      </c>
      <c r="C21" s="87">
        <v>40.0</v>
      </c>
      <c r="D21" s="88" t="s">
        <v>132</v>
      </c>
      <c r="E21" s="89">
        <f>3500000*(1+'⚙️ Assumptions'!C20)^4+'⚙️ Assumptions'!C27*12</f>
        <v>5217711.36</v>
      </c>
      <c r="F21" s="89">
        <f>2120000*(1+'⚙️ Assumptions'!C16)^8</f>
        <v>3378957.918</v>
      </c>
      <c r="G21" s="90">
        <f t="shared" si="1"/>
        <v>1838753.442</v>
      </c>
      <c r="H21" s="89">
        <f>H20*(1+'⚙️ Assumptions'!C21)</f>
        <v>160769.1608</v>
      </c>
      <c r="I21" s="90">
        <f>I20*(1+'⚙️ Assumptions'!C17)+H21*12</f>
        <v>21634226.87</v>
      </c>
      <c r="J21" s="89">
        <f>J20*(1+'⚙️ Assumptions'!C18)</f>
        <v>14991870.89</v>
      </c>
      <c r="K21" s="91">
        <f>MAX(0,K20-('⚙️ Assumptions'!C32*12-K20*'⚙️ Assumptions'!C22))</f>
        <v>4591215.209</v>
      </c>
      <c r="L21" s="92">
        <f>I21+J21-K21+'⚙️ Assumptions'!C34+'⚙️ Assumptions'!C35+'⚙️ Assumptions'!C36</f>
        <v>32219882.54</v>
      </c>
      <c r="M21" s="93">
        <f>IFERROR(L21/'⚙️ Assumptions'!C38,0)</f>
        <v>0.5369980424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94" t="s">
        <v>133</v>
      </c>
      <c r="C22" s="95">
        <v>41.0</v>
      </c>
      <c r="D22" s="96" t="s">
        <v>134</v>
      </c>
      <c r="E22" s="97">
        <f>3500000*(1+'⚙️ Assumptions'!C20)^5+'⚙️ Assumptions'!C27*12</f>
        <v>5598648.269</v>
      </c>
      <c r="F22" s="97">
        <f>2120000*(1+'⚙️ Assumptions'!C16)^9</f>
        <v>3581695.393</v>
      </c>
      <c r="G22" s="98">
        <f t="shared" si="1"/>
        <v>2016952.876</v>
      </c>
      <c r="H22" s="97">
        <f>H21*(1+'⚙️ Assumptions'!C21)</f>
        <v>176846.0768</v>
      </c>
      <c r="I22" s="98">
        <f>I21*(1+'⚙️ Assumptions'!C17)+H22*12</f>
        <v>26352487.01</v>
      </c>
      <c r="J22" s="97">
        <f>J21*(1+'⚙️ Assumptions'!C18)</f>
        <v>15516586.37</v>
      </c>
      <c r="K22" s="99">
        <f>MAX(0,K21-('⚙️ Assumptions'!C32*12-K21*'⚙️ Assumptions'!C22))</f>
        <v>4238437.919</v>
      </c>
      <c r="L22" s="100">
        <f>I22+J22-K22+'⚙️ Assumptions'!C34+'⚙️ Assumptions'!C35+'⚙️ Assumptions'!C36</f>
        <v>37815635.46</v>
      </c>
      <c r="M22" s="101">
        <f>IFERROR(L22/'⚙️ Assumptions'!C38,0)</f>
        <v>0.630260591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94" t="s">
        <v>135</v>
      </c>
      <c r="C23" s="95">
        <v>42.0</v>
      </c>
      <c r="D23" s="96" t="s">
        <v>136</v>
      </c>
      <c r="E23" s="97">
        <f>3500000*(1+'⚙️ Assumptions'!C20)^6+'⚙️ Assumptions'!C27*12</f>
        <v>6010060.13</v>
      </c>
      <c r="F23" s="97">
        <f>2120000*(1+'⚙️ Assumptions'!C16)^10</f>
        <v>3796597.117</v>
      </c>
      <c r="G23" s="98">
        <f t="shared" si="1"/>
        <v>2213463.014</v>
      </c>
      <c r="H23" s="97">
        <f>H22*(1+'⚙️ Assumptions'!C21)</f>
        <v>194530.6845</v>
      </c>
      <c r="I23" s="98">
        <f>I22*(1+'⚙️ Assumptions'!C17)+H23*12</f>
        <v>31849153.67</v>
      </c>
      <c r="J23" s="97">
        <f>J22*(1+'⚙️ Assumptions'!C18)</f>
        <v>16059666.89</v>
      </c>
      <c r="K23" s="99">
        <f>MAX(0,K22-('⚙️ Assumptions'!C32*12-K22*'⚙️ Assumptions'!C22))</f>
        <v>3859907.887</v>
      </c>
      <c r="L23" s="100">
        <f>I23+J23-K23+'⚙️ Assumptions'!C34+'⚙️ Assumptions'!C35+'⚙️ Assumptions'!C36</f>
        <v>44233912.67</v>
      </c>
      <c r="M23" s="101">
        <f>IFERROR(L23/'⚙️ Assumptions'!C38,0)</f>
        <v>0.7372318778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94" t="s">
        <v>137</v>
      </c>
      <c r="C24" s="95">
        <v>43.0</v>
      </c>
      <c r="D24" s="96" t="s">
        <v>138</v>
      </c>
      <c r="E24" s="97">
        <f>3500000*(1+'⚙️ Assumptions'!C20)^7+'⚙️ Assumptions'!C27*12</f>
        <v>6454384.941</v>
      </c>
      <c r="F24" s="97">
        <f>2120000*(1+'⚙️ Assumptions'!C16)^11</f>
        <v>4024392.944</v>
      </c>
      <c r="G24" s="98">
        <f t="shared" si="1"/>
        <v>2429991.997</v>
      </c>
      <c r="H24" s="97">
        <f>H23*(1+'⚙️ Assumptions'!C21)</f>
        <v>213983.753</v>
      </c>
      <c r="I24" s="98">
        <f>I23*(1+'⚙️ Assumptions'!C17)+H24*12</f>
        <v>38238857.14</v>
      </c>
      <c r="J24" s="97">
        <f>J23*(1+'⚙️ Assumptions'!C18)</f>
        <v>16621755.23</v>
      </c>
      <c r="K24" s="99">
        <f>MAX(0,K23-('⚙️ Assumptions'!C32*12-K23*'⚙️ Assumptions'!C22))</f>
        <v>3453745.163</v>
      </c>
      <c r="L24" s="100">
        <f>I24+J24-K24+'⚙️ Assumptions'!C34+'⚙️ Assumptions'!C35+'⚙️ Assumptions'!C36</f>
        <v>51591867.21</v>
      </c>
      <c r="M24" s="101">
        <f>IFERROR(L24/'⚙️ Assumptions'!C38,0)</f>
        <v>0.8598644535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94" t="s">
        <v>139</v>
      </c>
      <c r="C25" s="95">
        <v>44.0</v>
      </c>
      <c r="D25" s="96" t="s">
        <v>140</v>
      </c>
      <c r="E25" s="97">
        <f>3500000*(1+'⚙️ Assumptions'!C20)^8+'⚙️ Assumptions'!C27*12</f>
        <v>6934255.736</v>
      </c>
      <c r="F25" s="97">
        <f>2120000*(1+'⚙️ Assumptions'!C16)^12</f>
        <v>4265856.52</v>
      </c>
      <c r="G25" s="98">
        <f t="shared" si="1"/>
        <v>2668399.216</v>
      </c>
      <c r="H25" s="97">
        <f>H24*(1+'⚙️ Assumptions'!C21)</f>
        <v>235382.1283</v>
      </c>
      <c r="I25" s="98">
        <f>I24*(1+'⚙️ Assumptions'!C17)+H25*12</f>
        <v>45652105.54</v>
      </c>
      <c r="J25" s="97">
        <f>J24*(1+'⚙️ Assumptions'!C18)</f>
        <v>17203516.66</v>
      </c>
      <c r="K25" s="99">
        <f>MAX(0,K24-('⚙️ Assumptions'!C32*12-K24*'⚙️ Assumptions'!C22))</f>
        <v>3017932.56</v>
      </c>
      <c r="L25" s="100">
        <f>I25+J25-K25+'⚙️ Assumptions'!C34+'⚙️ Assumptions'!C35+'⚙️ Assumptions'!C36</f>
        <v>60022689.64</v>
      </c>
      <c r="M25" s="101">
        <f>IFERROR(L25/'⚙️ Assumptions'!C38,0)</f>
        <v>1.000378161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94" t="s">
        <v>141</v>
      </c>
      <c r="C26" s="95">
        <v>45.0</v>
      </c>
      <c r="D26" s="96" t="s">
        <v>142</v>
      </c>
      <c r="E26" s="97">
        <f>3500000*(1+'⚙️ Assumptions'!C20)^9+'⚙️ Assumptions'!C27*12</f>
        <v>7452516.195</v>
      </c>
      <c r="F26" s="97">
        <f>2120000*(1+'⚙️ Assumptions'!C16)^13</f>
        <v>4521807.912</v>
      </c>
      <c r="G26" s="98">
        <f t="shared" si="1"/>
        <v>2930708.283</v>
      </c>
      <c r="H26" s="97">
        <f>H25*(1+'⚙️ Assumptions'!C21)</f>
        <v>258920.3411</v>
      </c>
      <c r="I26" s="98">
        <f>I25*(1+'⚙️ Assumptions'!C17)+H26*12</f>
        <v>54237402.3</v>
      </c>
      <c r="J26" s="97">
        <f>J25*(1+'⚙️ Assumptions'!C18)</f>
        <v>17805639.75</v>
      </c>
      <c r="K26" s="99">
        <f>MAX(0,K25-('⚙️ Assumptions'!C32*12-K25*'⚙️ Assumptions'!C22))</f>
        <v>2550305.637</v>
      </c>
      <c r="L26" s="100">
        <f>I26+J26-K26+'⚙️ Assumptions'!C34+'⚙️ Assumptions'!C35+'⚙️ Assumptions'!C36</f>
        <v>69677736.41</v>
      </c>
      <c r="M26" s="101">
        <f>IFERROR(L26/'⚙️ Assumptions'!C38,0)</f>
        <v>1.161295607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02" t="s">
        <v>143</v>
      </c>
      <c r="C27" s="103">
        <v>46.0</v>
      </c>
      <c r="D27" s="104" t="s">
        <v>144</v>
      </c>
      <c r="E27" s="105">
        <f>3500000*(1+'⚙️ Assumptions'!C20)^10+'⚙️ Assumptions'!C27*12</f>
        <v>8012237.49</v>
      </c>
      <c r="F27" s="105">
        <f>2120000*(1+'⚙️ Assumptions'!C16)^14</f>
        <v>4793116.386</v>
      </c>
      <c r="G27" s="106">
        <f t="shared" si="1"/>
        <v>3219121.104</v>
      </c>
      <c r="H27" s="105">
        <f>H26*(1+'⚙️ Assumptions'!C21)</f>
        <v>284812.3752</v>
      </c>
      <c r="I27" s="106">
        <f>I26*(1+'⚙️ Assumptions'!C17)+H27*12</f>
        <v>64163639.08</v>
      </c>
      <c r="J27" s="105">
        <f>J26*(1+'⚙️ Assumptions'!C18)</f>
        <v>18428837.14</v>
      </c>
      <c r="K27" s="107">
        <f>MAX(0,K26-('⚙️ Assumptions'!C32*12-K26*'⚙️ Assumptions'!C22))</f>
        <v>2048541.948</v>
      </c>
      <c r="L27" s="108">
        <f>I27+J27-K27+'⚙️ Assumptions'!C34+'⚙️ Assumptions'!C35+'⚙️ Assumptions'!C36</f>
        <v>80728934.27</v>
      </c>
      <c r="M27" s="109">
        <f>IFERROR(L27/'⚙️ Assumptions'!C38,0)</f>
        <v>1.345482238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02" t="s">
        <v>145</v>
      </c>
      <c r="C28" s="103">
        <v>47.0</v>
      </c>
      <c r="D28" s="104" t="s">
        <v>146</v>
      </c>
      <c r="E28" s="105">
        <f>3500000*(1+'⚙️ Assumptions'!C20)^11+'⚙️ Assumptions'!C27*12</f>
        <v>8616736.49</v>
      </c>
      <c r="F28" s="105">
        <f>2120000*(1+'⚙️ Assumptions'!C16)^15</f>
        <v>5080703.369</v>
      </c>
      <c r="G28" s="106">
        <f t="shared" si="1"/>
        <v>3536033.12</v>
      </c>
      <c r="H28" s="105">
        <f>H27*(1+'⚙️ Assumptions'!C21)</f>
        <v>313293.6127</v>
      </c>
      <c r="I28" s="106">
        <f>I27*(1+'⚙️ Assumptions'!C17)+H28*12</f>
        <v>75622799.12</v>
      </c>
      <c r="J28" s="105">
        <f>J27*(1+'⚙️ Assumptions'!C18)</f>
        <v>19073846.44</v>
      </c>
      <c r="K28" s="107">
        <f>MAX(0,K27-('⚙️ Assumptions'!C32*12-K27*'⚙️ Assumptions'!C22))</f>
        <v>1510149.511</v>
      </c>
      <c r="L28" s="108">
        <f>I28+J28-K28+'⚙️ Assumptions'!C34+'⚙️ Assumptions'!C35+'⚙️ Assumptions'!C36</f>
        <v>93371496.05</v>
      </c>
      <c r="M28" s="109">
        <f>IFERROR(L28/'⚙️ Assumptions'!C38,0)</f>
        <v>1.556191601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02" t="s">
        <v>147</v>
      </c>
      <c r="C29" s="103">
        <v>48.0</v>
      </c>
      <c r="D29" s="104" t="s">
        <v>148</v>
      </c>
      <c r="E29" s="105">
        <f>3500000*(1+'⚙️ Assumptions'!C20)^12+'⚙️ Assumptions'!C27*12</f>
        <v>9269595.409</v>
      </c>
      <c r="F29" s="105">
        <f>2120000*(1+'⚙️ Assumptions'!C16)^16</f>
        <v>5385545.572</v>
      </c>
      <c r="G29" s="106">
        <f t="shared" si="1"/>
        <v>3884049.837</v>
      </c>
      <c r="H29" s="105">
        <f>H28*(1+'⚙️ Assumptions'!C21)</f>
        <v>344622.974</v>
      </c>
      <c r="I29" s="106">
        <f>I28*(1+'⚙️ Assumptions'!C17)+H29*12</f>
        <v>88833010.7</v>
      </c>
      <c r="J29" s="105">
        <f>J28*(1+'⚙️ Assumptions'!C18)</f>
        <v>19741431.06</v>
      </c>
      <c r="K29" s="107">
        <f>MAX(0,K28-('⚙️ Assumptions'!C32*12-K28*'⚙️ Assumptions'!C22))</f>
        <v>932454.4248</v>
      </c>
      <c r="L29" s="108">
        <f>I29+J29-K29+'⚙️ Assumptions'!C34+'⚙️ Assumptions'!C35+'⚙️ Assumptions'!C36</f>
        <v>107826987.3</v>
      </c>
      <c r="M29" s="109">
        <f>IFERROR(L29/'⚙️ Assumptions'!C38,0)</f>
        <v>1.797116456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10" t="s">
        <v>149</v>
      </c>
      <c r="C30" s="111">
        <v>49.0</v>
      </c>
      <c r="D30" s="112" t="s">
        <v>150</v>
      </c>
      <c r="E30" s="113">
        <f>3500000*(1+'⚙️ Assumptions'!C20)^13+'⚙️ Assumptions'!C27*12</f>
        <v>9974683.042</v>
      </c>
      <c r="F30" s="113">
        <f>2120000*(1+'⚙️ Assumptions'!C16)^17</f>
        <v>5708678.306</v>
      </c>
      <c r="G30" s="113">
        <f t="shared" si="1"/>
        <v>4266004.736</v>
      </c>
      <c r="H30" s="113">
        <f>H29*(1+'⚙️ Assumptions'!C21)</f>
        <v>379085.2714</v>
      </c>
      <c r="I30" s="113">
        <f>I29*(1+'⚙️ Assumptions'!C17)+H30*12</f>
        <v>104041995.2</v>
      </c>
      <c r="J30" s="113">
        <f>J29*(1+'⚙️ Assumptions'!C18)</f>
        <v>20432381.15</v>
      </c>
      <c r="K30" s="113">
        <f>MAX(0,K29-('⚙️ Assumptions'!C32*12-K29*'⚙️ Assumptions'!C22))</f>
        <v>312587.5978</v>
      </c>
      <c r="L30" s="113">
        <f>I30+J30-K30+'⚙️ Assumptions'!C34+'⚙️ Assumptions'!C35+'⚙️ Assumptions'!C36</f>
        <v>124346788.8</v>
      </c>
      <c r="M30" s="114">
        <f>IFERROR(L30/'⚙️ Assumptions'!C38,0)</f>
        <v>2.07244648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15" t="s">
        <v>151</v>
      </c>
      <c r="C33" s="116"/>
      <c r="D33" s="117" t="s">
        <v>152</v>
      </c>
      <c r="E33" s="116"/>
      <c r="F33" s="118" t="s">
        <v>153</v>
      </c>
      <c r="G33" s="116"/>
      <c r="H33" s="119" t="s">
        <v>154</v>
      </c>
      <c r="I33" s="116"/>
      <c r="J33" s="120" t="s">
        <v>155</v>
      </c>
      <c r="K33" s="11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M2"/>
    <mergeCell ref="B4:F4"/>
    <mergeCell ref="B33:C33"/>
    <mergeCell ref="D33:E33"/>
    <mergeCell ref="F33:G33"/>
    <mergeCell ref="H33:I33"/>
    <mergeCell ref="J33:K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32.0"/>
    <col customWidth="1" min="3" max="3" width="30.43"/>
    <col customWidth="1" min="4" max="7" width="14.0"/>
    <col customWidth="1" min="8" max="8" width="1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73" t="s">
        <v>156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33" t="s">
        <v>157</v>
      </c>
      <c r="C4" s="33" t="s">
        <v>158</v>
      </c>
      <c r="D4" s="33" t="s">
        <v>159</v>
      </c>
      <c r="E4" s="33" t="s">
        <v>160</v>
      </c>
      <c r="F4" s="33" t="s">
        <v>161</v>
      </c>
      <c r="G4" s="33" t="s">
        <v>162</v>
      </c>
      <c r="H4" s="33" t="s">
        <v>163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21" t="s">
        <v>164</v>
      </c>
      <c r="C5" s="3"/>
      <c r="D5" s="3"/>
      <c r="E5" s="3"/>
      <c r="F5" s="3"/>
      <c r="G5" s="3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64" t="s">
        <v>165</v>
      </c>
      <c r="C6" s="122" t="s">
        <v>166</v>
      </c>
      <c r="D6" s="123">
        <v>150000.0</v>
      </c>
      <c r="E6" s="123">
        <v>185000.0</v>
      </c>
      <c r="F6" s="89">
        <f t="shared" ref="F6:F11" si="1">E6-D6</f>
        <v>35000</v>
      </c>
      <c r="G6" s="124">
        <f t="shared" ref="G6:G10" si="2">IFERROR((E6-D6)/D6,0)</f>
        <v>0.2333333333</v>
      </c>
      <c r="H6" s="123">
        <v>25000.0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4" t="s">
        <v>167</v>
      </c>
      <c r="C7" s="125" t="s">
        <v>168</v>
      </c>
      <c r="D7" s="126">
        <v>80000.0</v>
      </c>
      <c r="E7" s="126">
        <v>98000.0</v>
      </c>
      <c r="F7" s="127">
        <f t="shared" si="1"/>
        <v>18000</v>
      </c>
      <c r="G7" s="128">
        <f t="shared" si="2"/>
        <v>0.225</v>
      </c>
      <c r="H7" s="126">
        <v>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64" t="s">
        <v>169</v>
      </c>
      <c r="C8" s="122" t="s">
        <v>170</v>
      </c>
      <c r="D8" s="123">
        <v>90000.0</v>
      </c>
      <c r="E8" s="123">
        <v>115000.0</v>
      </c>
      <c r="F8" s="89">
        <f t="shared" si="1"/>
        <v>25000</v>
      </c>
      <c r="G8" s="124">
        <f t="shared" si="2"/>
        <v>0.2777777778</v>
      </c>
      <c r="H8" s="123">
        <v>20000.0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4" t="s">
        <v>171</v>
      </c>
      <c r="C9" s="125" t="s">
        <v>172</v>
      </c>
      <c r="D9" s="126">
        <v>60000.0</v>
      </c>
      <c r="E9" s="126">
        <v>80000.0</v>
      </c>
      <c r="F9" s="127">
        <f t="shared" si="1"/>
        <v>20000</v>
      </c>
      <c r="G9" s="128">
        <f t="shared" si="2"/>
        <v>0.3333333333</v>
      </c>
      <c r="H9" s="126">
        <v>0.0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64" t="s">
        <v>173</v>
      </c>
      <c r="C10" s="122" t="s">
        <v>174</v>
      </c>
      <c r="D10" s="123">
        <v>100000.0</v>
      </c>
      <c r="E10" s="123">
        <v>102000.0</v>
      </c>
      <c r="F10" s="89">
        <f t="shared" si="1"/>
        <v>2000</v>
      </c>
      <c r="G10" s="124">
        <f t="shared" si="2"/>
        <v>0.02</v>
      </c>
      <c r="H10" s="123">
        <v>20000.0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29" t="s">
        <v>175</v>
      </c>
      <c r="C11" s="116"/>
      <c r="D11" s="130">
        <f t="shared" ref="D11:E11" si="3">SUM(D6:D10)</f>
        <v>480000</v>
      </c>
      <c r="E11" s="130">
        <f t="shared" si="3"/>
        <v>580000</v>
      </c>
      <c r="F11" s="130">
        <f t="shared" si="1"/>
        <v>100000</v>
      </c>
      <c r="G11" s="1"/>
      <c r="H11" s="130">
        <f>SUM(H6:H10)</f>
        <v>65000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131" t="s">
        <v>176</v>
      </c>
      <c r="C13" s="3"/>
      <c r="D13" s="3"/>
      <c r="E13" s="3"/>
      <c r="F13" s="3"/>
      <c r="G13" s="3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32" t="s">
        <v>177</v>
      </c>
      <c r="C14" s="133" t="s">
        <v>178</v>
      </c>
      <c r="D14" s="134">
        <v>0.0</v>
      </c>
      <c r="E14" s="134">
        <v>0.0</v>
      </c>
      <c r="F14" s="135">
        <f t="shared" ref="F14:F32" si="4">E14-D14</f>
        <v>0</v>
      </c>
      <c r="G14" s="136">
        <f t="shared" ref="G14:G30" si="5">IFERROR((E14-D14)/D14,0)</f>
        <v>0</v>
      </c>
      <c r="H14" s="134">
        <v>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37" t="s">
        <v>179</v>
      </c>
      <c r="C15" s="138" t="s">
        <v>178</v>
      </c>
      <c r="D15" s="126">
        <v>0.0</v>
      </c>
      <c r="E15" s="126">
        <v>0.0</v>
      </c>
      <c r="F15" s="127">
        <f t="shared" si="4"/>
        <v>0</v>
      </c>
      <c r="G15" s="139">
        <f t="shared" si="5"/>
        <v>0</v>
      </c>
      <c r="H15" s="126">
        <v>0.0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32" t="s">
        <v>180</v>
      </c>
      <c r="C16" s="133" t="s">
        <v>178</v>
      </c>
      <c r="D16" s="134">
        <v>0.0</v>
      </c>
      <c r="E16" s="134">
        <v>0.0</v>
      </c>
      <c r="F16" s="135">
        <f t="shared" si="4"/>
        <v>0</v>
      </c>
      <c r="G16" s="136">
        <f t="shared" si="5"/>
        <v>0</v>
      </c>
      <c r="H16" s="134">
        <v>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37" t="s">
        <v>181</v>
      </c>
      <c r="C17" s="138" t="s">
        <v>178</v>
      </c>
      <c r="D17" s="126">
        <v>0.0</v>
      </c>
      <c r="E17" s="126">
        <v>0.0</v>
      </c>
      <c r="F17" s="127">
        <f t="shared" si="4"/>
        <v>0</v>
      </c>
      <c r="G17" s="139">
        <f t="shared" si="5"/>
        <v>0</v>
      </c>
      <c r="H17" s="126">
        <v>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32" t="s">
        <v>182</v>
      </c>
      <c r="C18" s="133" t="s">
        <v>178</v>
      </c>
      <c r="D18" s="134">
        <v>0.0</v>
      </c>
      <c r="E18" s="134">
        <v>0.0</v>
      </c>
      <c r="F18" s="135">
        <f t="shared" si="4"/>
        <v>0</v>
      </c>
      <c r="G18" s="136">
        <f t="shared" si="5"/>
        <v>0</v>
      </c>
      <c r="H18" s="134">
        <v>0.0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37" t="s">
        <v>183</v>
      </c>
      <c r="C19" s="138" t="s">
        <v>178</v>
      </c>
      <c r="D19" s="126">
        <v>0.0</v>
      </c>
      <c r="E19" s="126">
        <v>0.0</v>
      </c>
      <c r="F19" s="127">
        <f t="shared" si="4"/>
        <v>0</v>
      </c>
      <c r="G19" s="139">
        <f t="shared" si="5"/>
        <v>0</v>
      </c>
      <c r="H19" s="126">
        <v>0.0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32" t="s">
        <v>184</v>
      </c>
      <c r="C20" s="133" t="s">
        <v>178</v>
      </c>
      <c r="D20" s="134">
        <v>0.0</v>
      </c>
      <c r="E20" s="134">
        <v>0.0</v>
      </c>
      <c r="F20" s="135">
        <f t="shared" si="4"/>
        <v>0</v>
      </c>
      <c r="G20" s="136">
        <f t="shared" si="5"/>
        <v>0</v>
      </c>
      <c r="H20" s="134">
        <v>0.0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37" t="s">
        <v>185</v>
      </c>
      <c r="C21" s="138" t="s">
        <v>178</v>
      </c>
      <c r="D21" s="126">
        <v>0.0</v>
      </c>
      <c r="E21" s="126">
        <v>0.0</v>
      </c>
      <c r="F21" s="127">
        <f t="shared" si="4"/>
        <v>0</v>
      </c>
      <c r="G21" s="139">
        <f t="shared" si="5"/>
        <v>0</v>
      </c>
      <c r="H21" s="126">
        <v>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32" t="s">
        <v>186</v>
      </c>
      <c r="C22" s="133" t="s">
        <v>178</v>
      </c>
      <c r="D22" s="134">
        <v>0.0</v>
      </c>
      <c r="E22" s="134">
        <v>0.0</v>
      </c>
      <c r="F22" s="135">
        <f t="shared" si="4"/>
        <v>0</v>
      </c>
      <c r="G22" s="136">
        <f t="shared" si="5"/>
        <v>0</v>
      </c>
      <c r="H22" s="134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37" t="s">
        <v>187</v>
      </c>
      <c r="C23" s="138" t="s">
        <v>178</v>
      </c>
      <c r="D23" s="126">
        <v>0.0</v>
      </c>
      <c r="E23" s="126">
        <v>0.0</v>
      </c>
      <c r="F23" s="127">
        <f t="shared" si="4"/>
        <v>0</v>
      </c>
      <c r="G23" s="139">
        <f t="shared" si="5"/>
        <v>0</v>
      </c>
      <c r="H23" s="126">
        <v>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32" t="s">
        <v>188</v>
      </c>
      <c r="C24" s="133" t="s">
        <v>178</v>
      </c>
      <c r="D24" s="134">
        <v>0.0</v>
      </c>
      <c r="E24" s="134">
        <v>0.0</v>
      </c>
      <c r="F24" s="135">
        <f t="shared" si="4"/>
        <v>0</v>
      </c>
      <c r="G24" s="136">
        <f t="shared" si="5"/>
        <v>0</v>
      </c>
      <c r="H24" s="134">
        <v>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37" t="s">
        <v>189</v>
      </c>
      <c r="C25" s="138" t="s">
        <v>178</v>
      </c>
      <c r="D25" s="126">
        <v>0.0</v>
      </c>
      <c r="E25" s="126">
        <v>0.0</v>
      </c>
      <c r="F25" s="127">
        <f t="shared" si="4"/>
        <v>0</v>
      </c>
      <c r="G25" s="139">
        <f t="shared" si="5"/>
        <v>0</v>
      </c>
      <c r="H25" s="126">
        <v>0.0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32" t="s">
        <v>190</v>
      </c>
      <c r="C26" s="133" t="s">
        <v>178</v>
      </c>
      <c r="D26" s="134">
        <v>0.0</v>
      </c>
      <c r="E26" s="134">
        <v>0.0</v>
      </c>
      <c r="F26" s="135">
        <f t="shared" si="4"/>
        <v>0</v>
      </c>
      <c r="G26" s="136">
        <f t="shared" si="5"/>
        <v>0</v>
      </c>
      <c r="H26" s="134">
        <v>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37" t="s">
        <v>191</v>
      </c>
      <c r="C27" s="138" t="s">
        <v>178</v>
      </c>
      <c r="D27" s="126">
        <v>0.0</v>
      </c>
      <c r="E27" s="126">
        <v>0.0</v>
      </c>
      <c r="F27" s="127">
        <f t="shared" si="4"/>
        <v>0</v>
      </c>
      <c r="G27" s="139">
        <f t="shared" si="5"/>
        <v>0</v>
      </c>
      <c r="H27" s="126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32" t="s">
        <v>192</v>
      </c>
      <c r="C28" s="133" t="s">
        <v>178</v>
      </c>
      <c r="D28" s="134">
        <v>0.0</v>
      </c>
      <c r="E28" s="134">
        <v>0.0</v>
      </c>
      <c r="F28" s="135">
        <f t="shared" si="4"/>
        <v>0</v>
      </c>
      <c r="G28" s="136">
        <f t="shared" si="5"/>
        <v>0</v>
      </c>
      <c r="H28" s="134">
        <v>0.0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37" t="s">
        <v>193</v>
      </c>
      <c r="C29" s="138" t="s">
        <v>178</v>
      </c>
      <c r="D29" s="126">
        <v>0.0</v>
      </c>
      <c r="E29" s="126">
        <v>0.0</v>
      </c>
      <c r="F29" s="127">
        <f t="shared" si="4"/>
        <v>0</v>
      </c>
      <c r="G29" s="139">
        <f t="shared" si="5"/>
        <v>0</v>
      </c>
      <c r="H29" s="126">
        <v>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32" t="s">
        <v>194</v>
      </c>
      <c r="C30" s="133" t="s">
        <v>178</v>
      </c>
      <c r="D30" s="134">
        <v>0.0</v>
      </c>
      <c r="E30" s="134">
        <v>0.0</v>
      </c>
      <c r="F30" s="135">
        <f t="shared" si="4"/>
        <v>0</v>
      </c>
      <c r="G30" s="136">
        <f t="shared" si="5"/>
        <v>0</v>
      </c>
      <c r="H30" s="134">
        <v>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40" t="s">
        <v>195</v>
      </c>
      <c r="C31" s="116"/>
      <c r="D31" s="141">
        <f t="shared" ref="D31:E31" si="6">SUM(D14:D30)</f>
        <v>0</v>
      </c>
      <c r="E31" s="141">
        <f t="shared" si="6"/>
        <v>0</v>
      </c>
      <c r="F31" s="141">
        <f t="shared" si="4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0" t="s">
        <v>196</v>
      </c>
      <c r="C32" s="61"/>
      <c r="D32" s="62">
        <f t="shared" ref="D32:E32" si="7">D11+D31</f>
        <v>480000</v>
      </c>
      <c r="E32" s="62">
        <f t="shared" si="7"/>
        <v>580000</v>
      </c>
      <c r="F32" s="62">
        <f t="shared" si="4"/>
        <v>100000</v>
      </c>
      <c r="G32" s="1"/>
      <c r="H32" s="62">
        <f>H11</f>
        <v>65000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H2"/>
    <mergeCell ref="B5:H5"/>
    <mergeCell ref="B11:C11"/>
    <mergeCell ref="B13:H13"/>
    <mergeCell ref="B31:C31"/>
    <mergeCell ref="B32:C3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2.0"/>
    <col customWidth="1" min="2" max="2" width="4.0"/>
    <col customWidth="1" min="3" max="3" width="35.57"/>
    <col customWidth="1" min="4" max="15" width="14.0"/>
    <col customWidth="1" min="16" max="16" width="11.57"/>
    <col customWidth="1" min="17" max="17" width="16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142" t="s">
        <v>197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0" customHeight="1">
      <c r="A4" s="1"/>
      <c r="B4" s="143" t="s">
        <v>198</v>
      </c>
      <c r="C4" s="143" t="s">
        <v>199</v>
      </c>
      <c r="D4" s="33" t="s">
        <v>200</v>
      </c>
      <c r="E4" s="33" t="s">
        <v>201</v>
      </c>
      <c r="F4" s="33" t="s">
        <v>202</v>
      </c>
      <c r="G4" s="33" t="s">
        <v>203</v>
      </c>
      <c r="H4" s="33" t="s">
        <v>204</v>
      </c>
      <c r="I4" s="33" t="s">
        <v>205</v>
      </c>
      <c r="J4" s="33" t="s">
        <v>206</v>
      </c>
      <c r="K4" s="33" t="s">
        <v>207</v>
      </c>
      <c r="L4" s="33" t="s">
        <v>208</v>
      </c>
      <c r="M4" s="33" t="s">
        <v>209</v>
      </c>
      <c r="N4" s="33" t="s">
        <v>210</v>
      </c>
      <c r="O4" s="33" t="s">
        <v>211</v>
      </c>
      <c r="P4" s="144" t="s">
        <v>212</v>
      </c>
      <c r="Q4" s="145" t="s">
        <v>213</v>
      </c>
      <c r="R4" s="1"/>
      <c r="S4" s="1"/>
      <c r="T4" s="1"/>
      <c r="U4" s="1"/>
      <c r="V4" s="1"/>
      <c r="W4" s="1"/>
      <c r="X4" s="1"/>
      <c r="Y4" s="1"/>
      <c r="Z4" s="1"/>
    </row>
    <row r="5" ht="7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0" t="s">
        <v>214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46" t="s">
        <v>215</v>
      </c>
      <c r="C7" s="14" t="s">
        <v>88</v>
      </c>
      <c r="D7" s="123">
        <v>267000.0</v>
      </c>
      <c r="E7" s="123">
        <v>267000.0</v>
      </c>
      <c r="F7" s="123">
        <v>267000.0</v>
      </c>
      <c r="G7" s="123">
        <v>267000.0</v>
      </c>
      <c r="H7" s="123">
        <v>267000.0</v>
      </c>
      <c r="I7" s="123">
        <v>267000.0</v>
      </c>
      <c r="J7" s="123">
        <v>267000.0</v>
      </c>
      <c r="K7" s="123">
        <v>267000.0</v>
      </c>
      <c r="L7" s="123">
        <v>267000.0</v>
      </c>
      <c r="M7" s="123">
        <v>267000.0</v>
      </c>
      <c r="N7" s="123">
        <v>267000.0</v>
      </c>
      <c r="O7" s="123">
        <v>267000.0</v>
      </c>
      <c r="P7" s="147">
        <f t="shared" ref="P7:P9" si="1">SUM(D7:O7)</f>
        <v>3204000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48" t="s">
        <v>215</v>
      </c>
      <c r="C8" s="20" t="s">
        <v>216</v>
      </c>
      <c r="D8" s="123">
        <v>0.0</v>
      </c>
      <c r="E8" s="123">
        <v>0.0</v>
      </c>
      <c r="F8" s="123">
        <v>0.0</v>
      </c>
      <c r="G8" s="123">
        <v>0.0</v>
      </c>
      <c r="H8" s="123">
        <v>0.0</v>
      </c>
      <c r="I8" s="123">
        <v>0.0</v>
      </c>
      <c r="J8" s="123">
        <v>0.0</v>
      </c>
      <c r="K8" s="123">
        <v>0.0</v>
      </c>
      <c r="L8" s="123">
        <v>0.0</v>
      </c>
      <c r="M8" s="123">
        <v>38000.0</v>
      </c>
      <c r="N8" s="123">
        <v>38000.0</v>
      </c>
      <c r="O8" s="123">
        <v>38000.0</v>
      </c>
      <c r="P8" s="147">
        <f t="shared" si="1"/>
        <v>114000</v>
      </c>
      <c r="Q8" s="149" t="s">
        <v>217</v>
      </c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48" t="s">
        <v>215</v>
      </c>
      <c r="C9" s="20" t="s">
        <v>218</v>
      </c>
      <c r="D9" s="150">
        <v>60000.0</v>
      </c>
      <c r="E9" s="150">
        <v>60000.0</v>
      </c>
      <c r="F9" s="150">
        <v>60000.0</v>
      </c>
      <c r="G9" s="150">
        <v>60000.0</v>
      </c>
      <c r="H9" s="150">
        <v>60000.0</v>
      </c>
      <c r="I9" s="150">
        <v>60000.0</v>
      </c>
      <c r="J9" s="150">
        <v>60000.0</v>
      </c>
      <c r="K9" s="150">
        <v>60000.0</v>
      </c>
      <c r="L9" s="150">
        <v>60000.0</v>
      </c>
      <c r="M9" s="150">
        <v>60000.0</v>
      </c>
      <c r="N9" s="150">
        <v>60000.0</v>
      </c>
      <c r="O9" s="150">
        <v>60000.0</v>
      </c>
      <c r="P9" s="151">
        <f t="shared" si="1"/>
        <v>720000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46" t="s">
        <v>215</v>
      </c>
      <c r="C10" s="14" t="s">
        <v>219</v>
      </c>
      <c r="D10" s="152">
        <v>2.84</v>
      </c>
      <c r="E10" s="152">
        <v>2.84</v>
      </c>
      <c r="F10" s="152">
        <v>2.84</v>
      </c>
      <c r="G10" s="152">
        <v>2.84</v>
      </c>
      <c r="H10" s="152">
        <v>2.84</v>
      </c>
      <c r="I10" s="152">
        <v>2.84</v>
      </c>
      <c r="J10" s="152">
        <v>2.84</v>
      </c>
      <c r="K10" s="152">
        <v>2.84</v>
      </c>
      <c r="L10" s="152">
        <v>2.84</v>
      </c>
      <c r="M10" s="152">
        <v>2.84</v>
      </c>
      <c r="N10" s="152">
        <v>2.84</v>
      </c>
      <c r="O10" s="152">
        <v>2.84</v>
      </c>
      <c r="P10" s="153" t="s">
        <v>220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48" t="s">
        <v>215</v>
      </c>
      <c r="C11" s="64" t="s">
        <v>221</v>
      </c>
      <c r="D11" s="90">
        <f t="shared" ref="D11:O11" si="2">ROUND(D9*D10,0)</f>
        <v>170400</v>
      </c>
      <c r="E11" s="90">
        <f t="shared" si="2"/>
        <v>170400</v>
      </c>
      <c r="F11" s="90">
        <f t="shared" si="2"/>
        <v>170400</v>
      </c>
      <c r="G11" s="90">
        <f t="shared" si="2"/>
        <v>170400</v>
      </c>
      <c r="H11" s="90">
        <f t="shared" si="2"/>
        <v>170400</v>
      </c>
      <c r="I11" s="90">
        <f t="shared" si="2"/>
        <v>170400</v>
      </c>
      <c r="J11" s="90">
        <f t="shared" si="2"/>
        <v>170400</v>
      </c>
      <c r="K11" s="90">
        <f t="shared" si="2"/>
        <v>170400</v>
      </c>
      <c r="L11" s="90">
        <f t="shared" si="2"/>
        <v>170400</v>
      </c>
      <c r="M11" s="90">
        <f t="shared" si="2"/>
        <v>170400</v>
      </c>
      <c r="N11" s="90">
        <f t="shared" si="2"/>
        <v>170400</v>
      </c>
      <c r="O11" s="90">
        <f t="shared" si="2"/>
        <v>170400</v>
      </c>
      <c r="P11" s="154">
        <f t="shared" ref="P11:P13" si="3">SUM(D11:O11)</f>
        <v>2044800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148" t="s">
        <v>215</v>
      </c>
      <c r="C12" s="20" t="s">
        <v>222</v>
      </c>
      <c r="D12" s="155">
        <v>0.0</v>
      </c>
      <c r="E12" s="155">
        <v>0.0</v>
      </c>
      <c r="F12" s="155">
        <v>0.0</v>
      </c>
      <c r="G12" s="155">
        <v>0.0</v>
      </c>
      <c r="H12" s="155">
        <v>0.0</v>
      </c>
      <c r="I12" s="155">
        <v>0.0</v>
      </c>
      <c r="J12" s="155">
        <v>0.0</v>
      </c>
      <c r="K12" s="155">
        <v>0.0</v>
      </c>
      <c r="L12" s="155">
        <v>0.0</v>
      </c>
      <c r="M12" s="155">
        <v>0.0</v>
      </c>
      <c r="N12" s="155">
        <v>0.0</v>
      </c>
      <c r="O12" s="155">
        <v>0.0</v>
      </c>
      <c r="P12" s="156">
        <f t="shared" si="3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57" t="s">
        <v>223</v>
      </c>
      <c r="C13" s="116"/>
      <c r="D13" s="158">
        <f t="shared" ref="D13:O13" si="4">D7+D8+D11+D12</f>
        <v>437400</v>
      </c>
      <c r="E13" s="158">
        <f t="shared" si="4"/>
        <v>437400</v>
      </c>
      <c r="F13" s="158">
        <f t="shared" si="4"/>
        <v>437400</v>
      </c>
      <c r="G13" s="158">
        <f t="shared" si="4"/>
        <v>437400</v>
      </c>
      <c r="H13" s="158">
        <f t="shared" si="4"/>
        <v>437400</v>
      </c>
      <c r="I13" s="158">
        <f t="shared" si="4"/>
        <v>437400</v>
      </c>
      <c r="J13" s="158">
        <f t="shared" si="4"/>
        <v>437400</v>
      </c>
      <c r="K13" s="158">
        <f t="shared" si="4"/>
        <v>437400</v>
      </c>
      <c r="L13" s="158">
        <f t="shared" si="4"/>
        <v>437400</v>
      </c>
      <c r="M13" s="158">
        <f t="shared" si="4"/>
        <v>475400</v>
      </c>
      <c r="N13" s="158">
        <f t="shared" si="4"/>
        <v>475400</v>
      </c>
      <c r="O13" s="158">
        <f t="shared" si="4"/>
        <v>475400</v>
      </c>
      <c r="P13" s="159">
        <f t="shared" si="3"/>
        <v>5362800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0" t="s">
        <v>224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46" t="s">
        <v>225</v>
      </c>
      <c r="C16" s="14" t="s">
        <v>226</v>
      </c>
      <c r="D16" s="126">
        <v>57328.0</v>
      </c>
      <c r="E16" s="126">
        <v>57328.0</v>
      </c>
      <c r="F16" s="126">
        <v>57328.0</v>
      </c>
      <c r="G16" s="126">
        <v>57328.0</v>
      </c>
      <c r="H16" s="126">
        <v>57328.0</v>
      </c>
      <c r="I16" s="126">
        <v>57328.0</v>
      </c>
      <c r="J16" s="126">
        <v>57328.0</v>
      </c>
      <c r="K16" s="126">
        <v>57328.0</v>
      </c>
      <c r="L16" s="126">
        <v>57328.0</v>
      </c>
      <c r="M16" s="126">
        <v>57328.0</v>
      </c>
      <c r="N16" s="126">
        <v>57328.0</v>
      </c>
      <c r="O16" s="126">
        <v>57328.0</v>
      </c>
      <c r="P16" s="147">
        <f t="shared" ref="P16:P27" si="5">SUM(D13:O13)</f>
        <v>5362800</v>
      </c>
      <c r="Q16" s="149" t="s">
        <v>217</v>
      </c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48" t="s">
        <v>225</v>
      </c>
      <c r="C17" s="20" t="s">
        <v>227</v>
      </c>
      <c r="D17" s="155">
        <v>13040.0</v>
      </c>
      <c r="E17" s="155">
        <v>13040.0</v>
      </c>
      <c r="F17" s="155">
        <v>13040.0</v>
      </c>
      <c r="G17" s="155">
        <v>13040.0</v>
      </c>
      <c r="H17" s="155">
        <v>13040.0</v>
      </c>
      <c r="I17" s="155">
        <v>13040.0</v>
      </c>
      <c r="J17" s="155">
        <v>13040.0</v>
      </c>
      <c r="K17" s="155">
        <v>13040.0</v>
      </c>
      <c r="L17" s="155">
        <v>13040.0</v>
      </c>
      <c r="M17" s="155">
        <v>13040.0</v>
      </c>
      <c r="N17" s="155">
        <v>13040.0</v>
      </c>
      <c r="O17" s="155">
        <v>13040.0</v>
      </c>
      <c r="P17" s="147">
        <f t="shared" si="5"/>
        <v>0</v>
      </c>
      <c r="Q17" s="149" t="s">
        <v>217</v>
      </c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46" t="s">
        <v>225</v>
      </c>
      <c r="C18" s="14" t="s">
        <v>228</v>
      </c>
      <c r="D18" s="126">
        <v>1544.0</v>
      </c>
      <c r="E18" s="126">
        <v>1544.0</v>
      </c>
      <c r="F18" s="126">
        <v>1544.0</v>
      </c>
      <c r="G18" s="126">
        <v>1544.0</v>
      </c>
      <c r="H18" s="126">
        <v>1544.0</v>
      </c>
      <c r="I18" s="126">
        <v>1544.0</v>
      </c>
      <c r="J18" s="126">
        <v>1544.0</v>
      </c>
      <c r="K18" s="126">
        <v>1544.0</v>
      </c>
      <c r="L18" s="126">
        <v>1544.0</v>
      </c>
      <c r="M18" s="126">
        <v>1544.0</v>
      </c>
      <c r="N18" s="126">
        <v>1544.0</v>
      </c>
      <c r="O18" s="126">
        <v>1544.0</v>
      </c>
      <c r="P18" s="147">
        <f t="shared" si="5"/>
        <v>0</v>
      </c>
      <c r="Q18" s="149" t="s">
        <v>217</v>
      </c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48" t="s">
        <v>225</v>
      </c>
      <c r="C19" s="20" t="s">
        <v>229</v>
      </c>
      <c r="D19" s="155">
        <v>1163.0</v>
      </c>
      <c r="E19" s="155">
        <v>1163.0</v>
      </c>
      <c r="F19" s="155">
        <v>1163.0</v>
      </c>
      <c r="G19" s="155">
        <v>1163.0</v>
      </c>
      <c r="H19" s="155">
        <v>1163.0</v>
      </c>
      <c r="I19" s="155">
        <v>1163.0</v>
      </c>
      <c r="J19" s="155">
        <v>1163.0</v>
      </c>
      <c r="K19" s="155">
        <v>1163.0</v>
      </c>
      <c r="L19" s="155">
        <v>1163.0</v>
      </c>
      <c r="M19" s="155">
        <v>1163.0</v>
      </c>
      <c r="N19" s="155">
        <v>1163.0</v>
      </c>
      <c r="O19" s="155">
        <v>1163.0</v>
      </c>
      <c r="P19" s="147">
        <f t="shared" si="5"/>
        <v>687936</v>
      </c>
      <c r="Q19" s="149" t="s">
        <v>217</v>
      </c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46" t="s">
        <v>225</v>
      </c>
      <c r="C20" s="14" t="s">
        <v>230</v>
      </c>
      <c r="D20" s="126">
        <v>5121.0</v>
      </c>
      <c r="E20" s="126">
        <v>5121.0</v>
      </c>
      <c r="F20" s="126">
        <v>5121.0</v>
      </c>
      <c r="G20" s="126">
        <v>5121.0</v>
      </c>
      <c r="H20" s="126">
        <v>5121.0</v>
      </c>
      <c r="I20" s="126">
        <v>5121.0</v>
      </c>
      <c r="J20" s="126">
        <v>5121.0</v>
      </c>
      <c r="K20" s="126">
        <v>5121.0</v>
      </c>
      <c r="L20" s="126">
        <v>5121.0</v>
      </c>
      <c r="M20" s="126">
        <v>5121.0</v>
      </c>
      <c r="N20" s="126">
        <v>5121.0</v>
      </c>
      <c r="O20" s="126">
        <v>5121.0</v>
      </c>
      <c r="P20" s="147">
        <f t="shared" si="5"/>
        <v>156480</v>
      </c>
      <c r="Q20" s="149" t="s">
        <v>217</v>
      </c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48" t="s">
        <v>225</v>
      </c>
      <c r="C21" s="20" t="s">
        <v>231</v>
      </c>
      <c r="D21" s="155">
        <v>7000.0</v>
      </c>
      <c r="E21" s="155">
        <v>0.0</v>
      </c>
      <c r="F21" s="155">
        <v>0.0</v>
      </c>
      <c r="G21" s="155">
        <v>0.0</v>
      </c>
      <c r="H21" s="155">
        <v>0.0</v>
      </c>
      <c r="I21" s="155">
        <v>0.0</v>
      </c>
      <c r="J21" s="155">
        <v>0.0</v>
      </c>
      <c r="K21" s="155">
        <v>0.0</v>
      </c>
      <c r="L21" s="155">
        <v>0.0</v>
      </c>
      <c r="M21" s="155">
        <v>0.0</v>
      </c>
      <c r="N21" s="155">
        <v>0.0</v>
      </c>
      <c r="O21" s="155">
        <v>0.0</v>
      </c>
      <c r="P21" s="147">
        <f t="shared" si="5"/>
        <v>18528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46" t="s">
        <v>225</v>
      </c>
      <c r="C22" s="14" t="s">
        <v>232</v>
      </c>
      <c r="D22" s="126">
        <v>2500.0</v>
      </c>
      <c r="E22" s="126">
        <v>2500.0</v>
      </c>
      <c r="F22" s="126">
        <v>2500.0</v>
      </c>
      <c r="G22" s="126">
        <v>2500.0</v>
      </c>
      <c r="H22" s="126">
        <v>2500.0</v>
      </c>
      <c r="I22" s="126">
        <v>2500.0</v>
      </c>
      <c r="J22" s="126">
        <v>2500.0</v>
      </c>
      <c r="K22" s="126">
        <v>2500.0</v>
      </c>
      <c r="L22" s="126">
        <v>2500.0</v>
      </c>
      <c r="M22" s="126">
        <v>2500.0</v>
      </c>
      <c r="N22" s="126">
        <v>2500.0</v>
      </c>
      <c r="O22" s="126">
        <v>2500.0</v>
      </c>
      <c r="P22" s="147">
        <f t="shared" si="5"/>
        <v>13956</v>
      </c>
      <c r="Q22" s="149" t="s">
        <v>217</v>
      </c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48" t="s">
        <v>225</v>
      </c>
      <c r="C23" s="20" t="s">
        <v>233</v>
      </c>
      <c r="D23" s="160">
        <v>2000.0</v>
      </c>
      <c r="E23" s="155">
        <v>5000.0</v>
      </c>
      <c r="F23" s="155">
        <v>5000.0</v>
      </c>
      <c r="G23" s="155">
        <v>5000.0</v>
      </c>
      <c r="H23" s="155">
        <v>5000.0</v>
      </c>
      <c r="I23" s="155">
        <v>5000.0</v>
      </c>
      <c r="J23" s="155">
        <v>5000.0</v>
      </c>
      <c r="K23" s="155">
        <v>5000.0</v>
      </c>
      <c r="L23" s="155">
        <v>5000.0</v>
      </c>
      <c r="M23" s="155">
        <v>5000.0</v>
      </c>
      <c r="N23" s="155">
        <v>5000.0</v>
      </c>
      <c r="O23" s="155">
        <v>5000.0</v>
      </c>
      <c r="P23" s="147">
        <f t="shared" si="5"/>
        <v>61452</v>
      </c>
      <c r="Q23" s="149" t="s">
        <v>217</v>
      </c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46" t="s">
        <v>225</v>
      </c>
      <c r="C24" s="14" t="s">
        <v>234</v>
      </c>
      <c r="D24" s="126">
        <v>749.0</v>
      </c>
      <c r="E24" s="126">
        <v>749.0</v>
      </c>
      <c r="F24" s="126">
        <v>749.0</v>
      </c>
      <c r="G24" s="126">
        <v>749.0</v>
      </c>
      <c r="H24" s="126">
        <v>749.0</v>
      </c>
      <c r="I24" s="126">
        <v>749.0</v>
      </c>
      <c r="J24" s="126">
        <v>749.0</v>
      </c>
      <c r="K24" s="126">
        <v>749.0</v>
      </c>
      <c r="L24" s="126">
        <v>749.0</v>
      </c>
      <c r="M24" s="126">
        <v>749.0</v>
      </c>
      <c r="N24" s="126">
        <v>749.0</v>
      </c>
      <c r="O24" s="126">
        <v>749.0</v>
      </c>
      <c r="P24" s="147">
        <f t="shared" si="5"/>
        <v>7000</v>
      </c>
      <c r="Q24" s="149" t="s">
        <v>217</v>
      </c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46" t="s">
        <v>225</v>
      </c>
      <c r="C25" s="161" t="s">
        <v>235</v>
      </c>
      <c r="D25" s="162">
        <v>0.0</v>
      </c>
      <c r="E25" s="162">
        <v>0.0</v>
      </c>
      <c r="F25" s="162">
        <v>0.0</v>
      </c>
      <c r="G25" s="162">
        <v>0.0</v>
      </c>
      <c r="H25" s="162">
        <v>0.0</v>
      </c>
      <c r="I25" s="162">
        <v>0.0</v>
      </c>
      <c r="J25" s="162">
        <v>0.0</v>
      </c>
      <c r="K25" s="162">
        <v>0.0</v>
      </c>
      <c r="L25" s="162">
        <v>0.0</v>
      </c>
      <c r="M25" s="162">
        <v>0.0</v>
      </c>
      <c r="N25" s="162">
        <v>0.0</v>
      </c>
      <c r="O25" s="162">
        <v>0.0</v>
      </c>
      <c r="P25" s="147">
        <f t="shared" si="5"/>
        <v>30000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46" t="s">
        <v>225</v>
      </c>
      <c r="C26" s="14" t="s">
        <v>236</v>
      </c>
      <c r="D26" s="126">
        <v>6836.0</v>
      </c>
      <c r="E26" s="126">
        <v>6836.0</v>
      </c>
      <c r="F26" s="126">
        <v>6836.0</v>
      </c>
      <c r="G26" s="126">
        <v>6836.0</v>
      </c>
      <c r="H26" s="126">
        <v>6836.0</v>
      </c>
      <c r="I26" s="126">
        <v>6836.0</v>
      </c>
      <c r="J26" s="126">
        <v>6836.0</v>
      </c>
      <c r="K26" s="126">
        <v>6836.0</v>
      </c>
      <c r="L26" s="126">
        <v>6836.0</v>
      </c>
      <c r="M26" s="126">
        <v>6836.0</v>
      </c>
      <c r="N26" s="126">
        <v>6836.0</v>
      </c>
      <c r="O26" s="126">
        <v>6836.0</v>
      </c>
      <c r="P26" s="147">
        <f t="shared" si="5"/>
        <v>57000</v>
      </c>
      <c r="Q26" s="149" t="s">
        <v>217</v>
      </c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63" t="s">
        <v>225</v>
      </c>
      <c r="C27" s="14" t="s">
        <v>237</v>
      </c>
      <c r="D27" s="155">
        <v>3000.0</v>
      </c>
      <c r="E27" s="155">
        <v>3000.0</v>
      </c>
      <c r="F27" s="155">
        <v>3000.0</v>
      </c>
      <c r="G27" s="155">
        <v>3000.0</v>
      </c>
      <c r="H27" s="155">
        <v>3000.0</v>
      </c>
      <c r="I27" s="155">
        <v>3000.0</v>
      </c>
      <c r="J27" s="155">
        <v>3000.0</v>
      </c>
      <c r="K27" s="155">
        <v>3000.0</v>
      </c>
      <c r="L27" s="155">
        <v>3000.0</v>
      </c>
      <c r="M27" s="155">
        <v>3000.0</v>
      </c>
      <c r="N27" s="155">
        <v>3000.0</v>
      </c>
      <c r="O27" s="155">
        <v>3000.0</v>
      </c>
      <c r="P27" s="147">
        <f t="shared" si="5"/>
        <v>8988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64" t="s">
        <v>238</v>
      </c>
      <c r="C28" s="116"/>
      <c r="D28" s="165">
        <f t="shared" ref="D28:O28" si="6">SUM(D16:D27)</f>
        <v>100281</v>
      </c>
      <c r="E28" s="165">
        <f t="shared" si="6"/>
        <v>96281</v>
      </c>
      <c r="F28" s="165">
        <f t="shared" si="6"/>
        <v>96281</v>
      </c>
      <c r="G28" s="165">
        <f t="shared" si="6"/>
        <v>96281</v>
      </c>
      <c r="H28" s="165">
        <f t="shared" si="6"/>
        <v>96281</v>
      </c>
      <c r="I28" s="165">
        <f t="shared" si="6"/>
        <v>96281</v>
      </c>
      <c r="J28" s="165">
        <f t="shared" si="6"/>
        <v>96281</v>
      </c>
      <c r="K28" s="165">
        <f t="shared" si="6"/>
        <v>96281</v>
      </c>
      <c r="L28" s="165">
        <f t="shared" si="6"/>
        <v>96281</v>
      </c>
      <c r="M28" s="165">
        <f t="shared" si="6"/>
        <v>96281</v>
      </c>
      <c r="N28" s="165">
        <f t="shared" si="6"/>
        <v>96281</v>
      </c>
      <c r="O28" s="165">
        <f t="shared" si="6"/>
        <v>96281</v>
      </c>
      <c r="P28" s="166">
        <f>SUM(D28:O28)</f>
        <v>1159372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67" t="s">
        <v>239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46" t="s">
        <v>240</v>
      </c>
      <c r="C31" s="14" t="s">
        <v>241</v>
      </c>
      <c r="D31" s="126">
        <v>29000.0</v>
      </c>
      <c r="E31" s="126">
        <v>29000.0</v>
      </c>
      <c r="F31" s="126">
        <v>29000.0</v>
      </c>
      <c r="G31" s="126">
        <v>29000.0</v>
      </c>
      <c r="H31" s="126">
        <v>29000.0</v>
      </c>
      <c r="I31" s="126">
        <v>29000.0</v>
      </c>
      <c r="J31" s="126">
        <v>29000.0</v>
      </c>
      <c r="K31" s="126">
        <v>29000.0</v>
      </c>
      <c r="L31" s="126">
        <v>29000.0</v>
      </c>
      <c r="M31" s="126">
        <v>29000.0</v>
      </c>
      <c r="N31" s="126">
        <v>29000.0</v>
      </c>
      <c r="O31" s="126">
        <v>29000.0</v>
      </c>
      <c r="P31" s="147">
        <f t="shared" ref="P31:P40" si="7">SUM(D28:O28)</f>
        <v>1159372</v>
      </c>
      <c r="Q31" s="149" t="s">
        <v>217</v>
      </c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48" t="s">
        <v>240</v>
      </c>
      <c r="C32" s="20" t="s">
        <v>242</v>
      </c>
      <c r="D32" s="155">
        <v>2500.0</v>
      </c>
      <c r="E32" s="155">
        <v>2500.0</v>
      </c>
      <c r="F32" s="155">
        <v>2500.0</v>
      </c>
      <c r="G32" s="155">
        <v>2500.0</v>
      </c>
      <c r="H32" s="155">
        <v>2500.0</v>
      </c>
      <c r="I32" s="155">
        <v>2500.0</v>
      </c>
      <c r="J32" s="155">
        <v>2500.0</v>
      </c>
      <c r="K32" s="155">
        <v>2500.0</v>
      </c>
      <c r="L32" s="155">
        <v>2500.0</v>
      </c>
      <c r="M32" s="155">
        <v>2500.0</v>
      </c>
      <c r="N32" s="155">
        <v>2500.0</v>
      </c>
      <c r="O32" s="155">
        <v>2500.0</v>
      </c>
      <c r="P32" s="147">
        <f t="shared" si="7"/>
        <v>0</v>
      </c>
      <c r="Q32" s="149" t="s">
        <v>217</v>
      </c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46" t="s">
        <v>240</v>
      </c>
      <c r="C33" s="14" t="s">
        <v>243</v>
      </c>
      <c r="D33" s="126">
        <v>600.0</v>
      </c>
      <c r="E33" s="126">
        <v>600.0</v>
      </c>
      <c r="F33" s="126">
        <v>600.0</v>
      </c>
      <c r="G33" s="126">
        <v>600.0</v>
      </c>
      <c r="H33" s="126">
        <v>600.0</v>
      </c>
      <c r="I33" s="126">
        <v>600.0</v>
      </c>
      <c r="J33" s="126">
        <v>600.0</v>
      </c>
      <c r="K33" s="126">
        <v>600.0</v>
      </c>
      <c r="L33" s="126">
        <v>600.0</v>
      </c>
      <c r="M33" s="126">
        <v>600.0</v>
      </c>
      <c r="N33" s="126">
        <v>600.0</v>
      </c>
      <c r="O33" s="126">
        <v>600.0</v>
      </c>
      <c r="P33" s="147">
        <f t="shared" si="7"/>
        <v>0</v>
      </c>
      <c r="Q33" s="149" t="s">
        <v>217</v>
      </c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48" t="s">
        <v>240</v>
      </c>
      <c r="C34" s="20" t="s">
        <v>244</v>
      </c>
      <c r="D34" s="155">
        <v>2200.0</v>
      </c>
      <c r="E34" s="155">
        <v>2200.0</v>
      </c>
      <c r="F34" s="155">
        <v>2200.0</v>
      </c>
      <c r="G34" s="155">
        <v>2200.0</v>
      </c>
      <c r="H34" s="155">
        <v>2200.0</v>
      </c>
      <c r="I34" s="155">
        <v>2200.0</v>
      </c>
      <c r="J34" s="155">
        <v>2200.0</v>
      </c>
      <c r="K34" s="155">
        <v>2200.0</v>
      </c>
      <c r="L34" s="155">
        <v>2200.0</v>
      </c>
      <c r="M34" s="155">
        <v>2200.0</v>
      </c>
      <c r="N34" s="155">
        <v>2200.0</v>
      </c>
      <c r="O34" s="155">
        <v>2200.0</v>
      </c>
      <c r="P34" s="147">
        <f t="shared" si="7"/>
        <v>348000</v>
      </c>
      <c r="Q34" s="149" t="s">
        <v>217</v>
      </c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46" t="s">
        <v>240</v>
      </c>
      <c r="C35" s="14" t="s">
        <v>245</v>
      </c>
      <c r="D35" s="126">
        <v>1000.0</v>
      </c>
      <c r="E35" s="126">
        <v>1000.0</v>
      </c>
      <c r="F35" s="126">
        <v>1000.0</v>
      </c>
      <c r="G35" s="126">
        <v>1000.0</v>
      </c>
      <c r="H35" s="126">
        <v>1000.0</v>
      </c>
      <c r="I35" s="126">
        <v>1000.0</v>
      </c>
      <c r="J35" s="126">
        <v>1000.0</v>
      </c>
      <c r="K35" s="126">
        <v>1000.0</v>
      </c>
      <c r="L35" s="126">
        <v>1000.0</v>
      </c>
      <c r="M35" s="126">
        <v>1000.0</v>
      </c>
      <c r="N35" s="126">
        <v>1000.0</v>
      </c>
      <c r="O35" s="126">
        <v>1000.0</v>
      </c>
      <c r="P35" s="147">
        <f t="shared" si="7"/>
        <v>30000</v>
      </c>
      <c r="Q35" s="149" t="s">
        <v>217</v>
      </c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48" t="s">
        <v>240</v>
      </c>
      <c r="C36" s="20" t="s">
        <v>246</v>
      </c>
      <c r="D36" s="155">
        <v>15000.0</v>
      </c>
      <c r="E36" s="155">
        <v>15000.0</v>
      </c>
      <c r="F36" s="155">
        <v>15000.0</v>
      </c>
      <c r="G36" s="155">
        <v>15000.0</v>
      </c>
      <c r="H36" s="155">
        <v>15000.0</v>
      </c>
      <c r="I36" s="155">
        <v>15000.0</v>
      </c>
      <c r="J36" s="155">
        <v>15000.0</v>
      </c>
      <c r="K36" s="155">
        <v>15000.0</v>
      </c>
      <c r="L36" s="155">
        <v>15000.0</v>
      </c>
      <c r="M36" s="155">
        <v>15000.0</v>
      </c>
      <c r="N36" s="155">
        <v>15000.0</v>
      </c>
      <c r="O36" s="155">
        <v>15000.0</v>
      </c>
      <c r="P36" s="147">
        <f t="shared" si="7"/>
        <v>7200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46" t="s">
        <v>240</v>
      </c>
      <c r="C37" s="14" t="s">
        <v>247</v>
      </c>
      <c r="D37" s="126">
        <v>6000.0</v>
      </c>
      <c r="E37" s="126">
        <v>6000.0</v>
      </c>
      <c r="F37" s="126">
        <v>6000.0</v>
      </c>
      <c r="G37" s="126">
        <v>6000.0</v>
      </c>
      <c r="H37" s="126">
        <v>6000.0</v>
      </c>
      <c r="I37" s="126">
        <v>6000.0</v>
      </c>
      <c r="J37" s="126">
        <v>6000.0</v>
      </c>
      <c r="K37" s="126">
        <v>6000.0</v>
      </c>
      <c r="L37" s="126">
        <v>6000.0</v>
      </c>
      <c r="M37" s="126">
        <v>6000.0</v>
      </c>
      <c r="N37" s="126">
        <v>6000.0</v>
      </c>
      <c r="O37" s="126">
        <v>6000.0</v>
      </c>
      <c r="P37" s="147">
        <f t="shared" si="7"/>
        <v>26400</v>
      </c>
      <c r="Q37" s="149" t="s">
        <v>217</v>
      </c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46" t="s">
        <v>240</v>
      </c>
      <c r="C38" s="161" t="s">
        <v>248</v>
      </c>
      <c r="D38" s="155">
        <v>3000.0</v>
      </c>
      <c r="E38" s="155">
        <v>3000.0</v>
      </c>
      <c r="F38" s="155">
        <v>3000.0</v>
      </c>
      <c r="G38" s="155">
        <v>3000.0</v>
      </c>
      <c r="H38" s="155">
        <v>3000.0</v>
      </c>
      <c r="I38" s="155">
        <v>3000.0</v>
      </c>
      <c r="J38" s="155">
        <v>3000.0</v>
      </c>
      <c r="K38" s="155">
        <v>3000.0</v>
      </c>
      <c r="L38" s="155">
        <v>3000.0</v>
      </c>
      <c r="M38" s="155">
        <v>3000.0</v>
      </c>
      <c r="N38" s="155">
        <v>3000.0</v>
      </c>
      <c r="O38" s="155">
        <v>3000.0</v>
      </c>
      <c r="P38" s="147">
        <f t="shared" si="7"/>
        <v>12000</v>
      </c>
      <c r="Q38" s="149" t="s">
        <v>217</v>
      </c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46" t="s">
        <v>240</v>
      </c>
      <c r="C39" s="14" t="s">
        <v>249</v>
      </c>
      <c r="D39" s="126">
        <v>9000.0</v>
      </c>
      <c r="E39" s="126">
        <v>9000.0</v>
      </c>
      <c r="F39" s="126">
        <v>9000.0</v>
      </c>
      <c r="G39" s="126">
        <v>9000.0</v>
      </c>
      <c r="H39" s="126">
        <v>9000.0</v>
      </c>
      <c r="I39" s="126">
        <v>9000.0</v>
      </c>
      <c r="J39" s="126">
        <v>9000.0</v>
      </c>
      <c r="K39" s="126">
        <v>9000.0</v>
      </c>
      <c r="L39" s="126">
        <v>9000.0</v>
      </c>
      <c r="M39" s="126">
        <v>9000.0</v>
      </c>
      <c r="N39" s="126">
        <v>9000.0</v>
      </c>
      <c r="O39" s="126">
        <v>9000.0</v>
      </c>
      <c r="P39" s="147">
        <f t="shared" si="7"/>
        <v>180000</v>
      </c>
      <c r="Q39" s="149" t="s">
        <v>217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63" t="s">
        <v>240</v>
      </c>
      <c r="C40" s="161" t="s">
        <v>250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47">
        <f t="shared" si="7"/>
        <v>72000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64" t="s">
        <v>251</v>
      </c>
      <c r="C41" s="116"/>
      <c r="D41" s="168">
        <f t="shared" ref="D41:P41" si="8">SUM(D28:D37)</f>
        <v>156581</v>
      </c>
      <c r="E41" s="168">
        <f t="shared" si="8"/>
        <v>152581</v>
      </c>
      <c r="F41" s="168">
        <f t="shared" si="8"/>
        <v>152581</v>
      </c>
      <c r="G41" s="168">
        <f t="shared" si="8"/>
        <v>152581</v>
      </c>
      <c r="H41" s="168">
        <f t="shared" si="8"/>
        <v>152581</v>
      </c>
      <c r="I41" s="168">
        <f t="shared" si="8"/>
        <v>152581</v>
      </c>
      <c r="J41" s="168">
        <f t="shared" si="8"/>
        <v>152581</v>
      </c>
      <c r="K41" s="168">
        <f t="shared" si="8"/>
        <v>152581</v>
      </c>
      <c r="L41" s="168">
        <f t="shared" si="8"/>
        <v>152581</v>
      </c>
      <c r="M41" s="168">
        <f t="shared" si="8"/>
        <v>152581</v>
      </c>
      <c r="N41" s="168">
        <f t="shared" si="8"/>
        <v>152581</v>
      </c>
      <c r="O41" s="168">
        <f t="shared" si="8"/>
        <v>152581</v>
      </c>
      <c r="P41" s="168">
        <f t="shared" si="8"/>
        <v>2730344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0" t="s">
        <v>252</v>
      </c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46" t="s">
        <v>253</v>
      </c>
      <c r="C44" s="14" t="s">
        <v>254</v>
      </c>
      <c r="D44" s="162">
        <v>25000.0</v>
      </c>
      <c r="E44" s="162">
        <v>25000.0</v>
      </c>
      <c r="F44" s="162">
        <v>25000.0</v>
      </c>
      <c r="G44" s="162">
        <v>25000.0</v>
      </c>
      <c r="H44" s="162">
        <v>25000.0</v>
      </c>
      <c r="I44" s="162">
        <v>25000.0</v>
      </c>
      <c r="J44" s="162">
        <v>25000.0</v>
      </c>
      <c r="K44" s="162">
        <v>25000.0</v>
      </c>
      <c r="L44" s="162">
        <v>25000.0</v>
      </c>
      <c r="M44" s="162">
        <v>25000.0</v>
      </c>
      <c r="N44" s="162">
        <v>25000.0</v>
      </c>
      <c r="O44" s="162">
        <v>25000.0</v>
      </c>
      <c r="P44" s="147">
        <f t="shared" ref="P44:P49" si="9">SUM(D41:O41)</f>
        <v>1834972</v>
      </c>
      <c r="Q44" s="149" t="s">
        <v>217</v>
      </c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48" t="s">
        <v>253</v>
      </c>
      <c r="C45" s="20" t="s">
        <v>255</v>
      </c>
      <c r="D45" s="162">
        <v>20000.0</v>
      </c>
      <c r="E45" s="162">
        <v>20000.0</v>
      </c>
      <c r="F45" s="162">
        <v>20000.0</v>
      </c>
      <c r="G45" s="162">
        <v>20000.0</v>
      </c>
      <c r="H45" s="162">
        <v>20000.0</v>
      </c>
      <c r="I45" s="162">
        <v>20000.0</v>
      </c>
      <c r="J45" s="162">
        <v>20000.0</v>
      </c>
      <c r="K45" s="162">
        <v>20000.0</v>
      </c>
      <c r="L45" s="162">
        <v>20000.0</v>
      </c>
      <c r="M45" s="162">
        <v>20000.0</v>
      </c>
      <c r="N45" s="162">
        <v>20000.0</v>
      </c>
      <c r="O45" s="162">
        <v>20000.0</v>
      </c>
      <c r="P45" s="147">
        <f t="shared" si="9"/>
        <v>0</v>
      </c>
      <c r="Q45" s="149" t="s">
        <v>217</v>
      </c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46" t="s">
        <v>253</v>
      </c>
      <c r="C46" s="14" t="s">
        <v>256</v>
      </c>
      <c r="D46" s="162">
        <v>20000.0</v>
      </c>
      <c r="E46" s="162">
        <v>20000.0</v>
      </c>
      <c r="F46" s="162">
        <v>20000.0</v>
      </c>
      <c r="G46" s="162">
        <v>20000.0</v>
      </c>
      <c r="H46" s="162">
        <v>20000.0</v>
      </c>
      <c r="I46" s="162">
        <v>20000.0</v>
      </c>
      <c r="J46" s="162">
        <v>20000.0</v>
      </c>
      <c r="K46" s="162">
        <v>20000.0</v>
      </c>
      <c r="L46" s="162">
        <v>20000.0</v>
      </c>
      <c r="M46" s="162">
        <v>20000.0</v>
      </c>
      <c r="N46" s="162">
        <v>20000.0</v>
      </c>
      <c r="O46" s="162">
        <v>20000.0</v>
      </c>
      <c r="P46" s="147">
        <f t="shared" si="9"/>
        <v>0</v>
      </c>
      <c r="Q46" s="149" t="s">
        <v>217</v>
      </c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63" t="s">
        <v>253</v>
      </c>
      <c r="C47" s="169"/>
      <c r="D47" s="162">
        <v>10000.0</v>
      </c>
      <c r="E47" s="162">
        <v>10000.0</v>
      </c>
      <c r="F47" s="162">
        <v>10000.0</v>
      </c>
      <c r="G47" s="162">
        <v>10000.0</v>
      </c>
      <c r="H47" s="162">
        <v>10000.0</v>
      </c>
      <c r="I47" s="162">
        <v>10000.0</v>
      </c>
      <c r="J47" s="162">
        <v>10000.0</v>
      </c>
      <c r="K47" s="162">
        <v>10000.0</v>
      </c>
      <c r="L47" s="162">
        <v>10000.0</v>
      </c>
      <c r="M47" s="162">
        <v>10000.0</v>
      </c>
      <c r="N47" s="162">
        <v>10000.0</v>
      </c>
      <c r="O47" s="162">
        <v>10000.0</v>
      </c>
      <c r="P47" s="147">
        <f t="shared" si="9"/>
        <v>300000</v>
      </c>
      <c r="Q47" s="149" t="s">
        <v>217</v>
      </c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46" t="s">
        <v>253</v>
      </c>
      <c r="C48" s="14" t="s">
        <v>257</v>
      </c>
      <c r="D48" s="162">
        <v>0.0</v>
      </c>
      <c r="E48" s="162">
        <v>0.0</v>
      </c>
      <c r="F48" s="162">
        <v>0.0</v>
      </c>
      <c r="G48" s="162">
        <v>0.0</v>
      </c>
      <c r="H48" s="162">
        <v>0.0</v>
      </c>
      <c r="I48" s="162">
        <v>0.0</v>
      </c>
      <c r="J48" s="162">
        <v>0.0</v>
      </c>
      <c r="K48" s="162">
        <v>0.0</v>
      </c>
      <c r="L48" s="162">
        <v>0.0</v>
      </c>
      <c r="M48" s="162">
        <v>0.0</v>
      </c>
      <c r="N48" s="162">
        <v>0.0</v>
      </c>
      <c r="O48" s="162">
        <v>0.0</v>
      </c>
      <c r="P48" s="147">
        <f t="shared" si="9"/>
        <v>240000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63" t="s">
        <v>253</v>
      </c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47">
        <f t="shared" si="9"/>
        <v>240000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71" t="s">
        <v>258</v>
      </c>
      <c r="C50" s="172"/>
      <c r="D50" s="173">
        <f t="shared" ref="D50:P50" si="10">SUM(D41:D46)</f>
        <v>221581</v>
      </c>
      <c r="E50" s="173">
        <f t="shared" si="10"/>
        <v>217581</v>
      </c>
      <c r="F50" s="173">
        <f t="shared" si="10"/>
        <v>217581</v>
      </c>
      <c r="G50" s="173">
        <f t="shared" si="10"/>
        <v>217581</v>
      </c>
      <c r="H50" s="173">
        <f t="shared" si="10"/>
        <v>217581</v>
      </c>
      <c r="I50" s="173">
        <f t="shared" si="10"/>
        <v>217581</v>
      </c>
      <c r="J50" s="173">
        <f t="shared" si="10"/>
        <v>217581</v>
      </c>
      <c r="K50" s="173">
        <f t="shared" si="10"/>
        <v>217581</v>
      </c>
      <c r="L50" s="173">
        <f t="shared" si="10"/>
        <v>217581</v>
      </c>
      <c r="M50" s="173">
        <f t="shared" si="10"/>
        <v>217581</v>
      </c>
      <c r="N50" s="173">
        <f t="shared" si="10"/>
        <v>217581</v>
      </c>
      <c r="O50" s="173">
        <f t="shared" si="10"/>
        <v>217581</v>
      </c>
      <c r="P50" s="173">
        <f t="shared" si="10"/>
        <v>4565316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0" t="s">
        <v>259</v>
      </c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7.5" customHeight="1">
      <c r="A53" s="1"/>
      <c r="B53" s="146" t="s">
        <v>260</v>
      </c>
      <c r="C53" s="14" t="s">
        <v>261</v>
      </c>
      <c r="D53" s="126">
        <v>0.0</v>
      </c>
      <c r="E53" s="126">
        <v>0.0</v>
      </c>
      <c r="F53" s="126">
        <v>0.0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47">
        <f t="shared" ref="P53:P54" si="11">SUM(D50:O50)</f>
        <v>2614972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63" t="s">
        <v>260</v>
      </c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69"/>
      <c r="P54" s="147">
        <f t="shared" si="11"/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74" t="s">
        <v>262</v>
      </c>
      <c r="C55" s="116"/>
      <c r="D55" s="175">
        <f t="shared" ref="D55:P55" si="12">SUM(D50:D51)</f>
        <v>221581</v>
      </c>
      <c r="E55" s="175">
        <f t="shared" si="12"/>
        <v>217581</v>
      </c>
      <c r="F55" s="175">
        <f t="shared" si="12"/>
        <v>217581</v>
      </c>
      <c r="G55" s="175">
        <f t="shared" si="12"/>
        <v>217581</v>
      </c>
      <c r="H55" s="175">
        <f t="shared" si="12"/>
        <v>217581</v>
      </c>
      <c r="I55" s="175">
        <f t="shared" si="12"/>
        <v>217581</v>
      </c>
      <c r="J55" s="175">
        <f t="shared" si="12"/>
        <v>217581</v>
      </c>
      <c r="K55" s="175">
        <f t="shared" si="12"/>
        <v>217581</v>
      </c>
      <c r="L55" s="175">
        <f t="shared" si="12"/>
        <v>217581</v>
      </c>
      <c r="M55" s="175">
        <f t="shared" si="12"/>
        <v>217581</v>
      </c>
      <c r="N55" s="175">
        <f t="shared" si="12"/>
        <v>217581</v>
      </c>
      <c r="O55" s="175">
        <f t="shared" si="12"/>
        <v>217581</v>
      </c>
      <c r="P55" s="175">
        <f t="shared" si="12"/>
        <v>4565316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76" t="s">
        <v>263</v>
      </c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77" t="s">
        <v>264</v>
      </c>
      <c r="C58" s="116"/>
      <c r="D58" s="178">
        <f t="shared" ref="D58:O58" si="13">D13</f>
        <v>437400</v>
      </c>
      <c r="E58" s="178">
        <f t="shared" si="13"/>
        <v>437400</v>
      </c>
      <c r="F58" s="178">
        <f t="shared" si="13"/>
        <v>437400</v>
      </c>
      <c r="G58" s="178">
        <f t="shared" si="13"/>
        <v>437400</v>
      </c>
      <c r="H58" s="178">
        <f t="shared" si="13"/>
        <v>437400</v>
      </c>
      <c r="I58" s="178">
        <f t="shared" si="13"/>
        <v>437400</v>
      </c>
      <c r="J58" s="178">
        <f t="shared" si="13"/>
        <v>437400</v>
      </c>
      <c r="K58" s="178">
        <f t="shared" si="13"/>
        <v>437400</v>
      </c>
      <c r="L58" s="178">
        <f t="shared" si="13"/>
        <v>437400</v>
      </c>
      <c r="M58" s="178">
        <f t="shared" si="13"/>
        <v>475400</v>
      </c>
      <c r="N58" s="178">
        <f t="shared" si="13"/>
        <v>475400</v>
      </c>
      <c r="O58" s="178">
        <f t="shared" si="13"/>
        <v>475400</v>
      </c>
      <c r="P58" s="178">
        <f t="shared" ref="P58:P63" si="15">SUM(D58:O58)</f>
        <v>5362800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79" t="s">
        <v>89</v>
      </c>
      <c r="C59" s="116"/>
      <c r="D59" s="66">
        <f t="shared" ref="D59:O59" si="14">D28</f>
        <v>100281</v>
      </c>
      <c r="E59" s="66">
        <f t="shared" si="14"/>
        <v>96281</v>
      </c>
      <c r="F59" s="66">
        <f t="shared" si="14"/>
        <v>96281</v>
      </c>
      <c r="G59" s="66">
        <f t="shared" si="14"/>
        <v>96281</v>
      </c>
      <c r="H59" s="66">
        <f t="shared" si="14"/>
        <v>96281</v>
      </c>
      <c r="I59" s="66">
        <f t="shared" si="14"/>
        <v>96281</v>
      </c>
      <c r="J59" s="66">
        <f t="shared" si="14"/>
        <v>96281</v>
      </c>
      <c r="K59" s="66">
        <f t="shared" si="14"/>
        <v>96281</v>
      </c>
      <c r="L59" s="66">
        <f t="shared" si="14"/>
        <v>96281</v>
      </c>
      <c r="M59" s="66">
        <f t="shared" si="14"/>
        <v>96281</v>
      </c>
      <c r="N59" s="66">
        <f t="shared" si="14"/>
        <v>96281</v>
      </c>
      <c r="O59" s="66">
        <f t="shared" si="14"/>
        <v>96281</v>
      </c>
      <c r="P59" s="66">
        <f t="shared" si="15"/>
        <v>1159372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79" t="s">
        <v>91</v>
      </c>
      <c r="C60" s="116"/>
      <c r="D60" s="66">
        <f t="shared" ref="D60:O60" si="16">D41</f>
        <v>156581</v>
      </c>
      <c r="E60" s="66">
        <f t="shared" si="16"/>
        <v>152581</v>
      </c>
      <c r="F60" s="66">
        <f t="shared" si="16"/>
        <v>152581</v>
      </c>
      <c r="G60" s="66">
        <f t="shared" si="16"/>
        <v>152581</v>
      </c>
      <c r="H60" s="66">
        <f t="shared" si="16"/>
        <v>152581</v>
      </c>
      <c r="I60" s="66">
        <f t="shared" si="16"/>
        <v>152581</v>
      </c>
      <c r="J60" s="66">
        <f t="shared" si="16"/>
        <v>152581</v>
      </c>
      <c r="K60" s="66">
        <f t="shared" si="16"/>
        <v>152581</v>
      </c>
      <c r="L60" s="66">
        <f t="shared" si="16"/>
        <v>152581</v>
      </c>
      <c r="M60" s="66">
        <f t="shared" si="16"/>
        <v>152581</v>
      </c>
      <c r="N60" s="66">
        <f t="shared" si="16"/>
        <v>152581</v>
      </c>
      <c r="O60" s="66">
        <f t="shared" si="16"/>
        <v>152581</v>
      </c>
      <c r="P60" s="66">
        <f t="shared" si="15"/>
        <v>1834972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80" t="s">
        <v>265</v>
      </c>
      <c r="C61" s="172"/>
      <c r="D61" s="181">
        <f t="shared" ref="D61:O61" si="17">D50</f>
        <v>221581</v>
      </c>
      <c r="E61" s="181">
        <f t="shared" si="17"/>
        <v>217581</v>
      </c>
      <c r="F61" s="181">
        <f t="shared" si="17"/>
        <v>217581</v>
      </c>
      <c r="G61" s="181">
        <f t="shared" si="17"/>
        <v>217581</v>
      </c>
      <c r="H61" s="181">
        <f t="shared" si="17"/>
        <v>217581</v>
      </c>
      <c r="I61" s="181">
        <f t="shared" si="17"/>
        <v>217581</v>
      </c>
      <c r="J61" s="181">
        <f t="shared" si="17"/>
        <v>217581</v>
      </c>
      <c r="K61" s="181">
        <f t="shared" si="17"/>
        <v>217581</v>
      </c>
      <c r="L61" s="181">
        <f t="shared" si="17"/>
        <v>217581</v>
      </c>
      <c r="M61" s="181">
        <f t="shared" si="17"/>
        <v>217581</v>
      </c>
      <c r="N61" s="181">
        <f t="shared" si="17"/>
        <v>217581</v>
      </c>
      <c r="O61" s="181">
        <f t="shared" si="17"/>
        <v>217581</v>
      </c>
      <c r="P61" s="181">
        <f t="shared" si="15"/>
        <v>2614972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80" t="s">
        <v>266</v>
      </c>
      <c r="C62" s="172"/>
      <c r="D62" s="182">
        <f t="shared" ref="D62:O62" si="18">D55</f>
        <v>221581</v>
      </c>
      <c r="E62" s="182">
        <f t="shared" si="18"/>
        <v>217581</v>
      </c>
      <c r="F62" s="182">
        <f t="shared" si="18"/>
        <v>217581</v>
      </c>
      <c r="G62" s="182">
        <f t="shared" si="18"/>
        <v>217581</v>
      </c>
      <c r="H62" s="182">
        <f t="shared" si="18"/>
        <v>217581</v>
      </c>
      <c r="I62" s="182">
        <f t="shared" si="18"/>
        <v>217581</v>
      </c>
      <c r="J62" s="182">
        <f t="shared" si="18"/>
        <v>217581</v>
      </c>
      <c r="K62" s="182">
        <f t="shared" si="18"/>
        <v>217581</v>
      </c>
      <c r="L62" s="182">
        <f t="shared" si="18"/>
        <v>217581</v>
      </c>
      <c r="M62" s="182">
        <f t="shared" si="18"/>
        <v>217581</v>
      </c>
      <c r="N62" s="182">
        <f t="shared" si="18"/>
        <v>217581</v>
      </c>
      <c r="O62" s="182">
        <f t="shared" si="18"/>
        <v>217581</v>
      </c>
      <c r="P62" s="182">
        <f t="shared" si="15"/>
        <v>2614972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83" t="s">
        <v>267</v>
      </c>
      <c r="C63" s="172"/>
      <c r="D63" s="92">
        <f t="shared" ref="D63:O63" si="19">D13-D28-D41</f>
        <v>180538</v>
      </c>
      <c r="E63" s="92">
        <f t="shared" si="19"/>
        <v>188538</v>
      </c>
      <c r="F63" s="92">
        <f t="shared" si="19"/>
        <v>188538</v>
      </c>
      <c r="G63" s="92">
        <f t="shared" si="19"/>
        <v>188538</v>
      </c>
      <c r="H63" s="92">
        <f t="shared" si="19"/>
        <v>188538</v>
      </c>
      <c r="I63" s="92">
        <f t="shared" si="19"/>
        <v>188538</v>
      </c>
      <c r="J63" s="92">
        <f t="shared" si="19"/>
        <v>188538</v>
      </c>
      <c r="K63" s="92">
        <f t="shared" si="19"/>
        <v>188538</v>
      </c>
      <c r="L63" s="92">
        <f t="shared" si="19"/>
        <v>188538</v>
      </c>
      <c r="M63" s="92">
        <f t="shared" si="19"/>
        <v>226538</v>
      </c>
      <c r="N63" s="92">
        <f t="shared" si="19"/>
        <v>226538</v>
      </c>
      <c r="O63" s="92">
        <f t="shared" si="19"/>
        <v>226538</v>
      </c>
      <c r="P63" s="184">
        <f t="shared" si="15"/>
        <v>2368456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72" t="s">
        <v>268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4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2:O2"/>
    <mergeCell ref="B6:O6"/>
    <mergeCell ref="B13:C13"/>
    <mergeCell ref="B15:C15"/>
    <mergeCell ref="B28:C28"/>
    <mergeCell ref="B41:C41"/>
    <mergeCell ref="B43:C43"/>
    <mergeCell ref="B58:C58"/>
    <mergeCell ref="B59:C59"/>
    <mergeCell ref="B60:C60"/>
    <mergeCell ref="B67:Q67"/>
    <mergeCell ref="B47:C47"/>
    <mergeCell ref="B49:O49"/>
    <mergeCell ref="B52:C52"/>
    <mergeCell ref="B54:O54"/>
    <mergeCell ref="B55:C55"/>
    <mergeCell ref="B56:C56"/>
    <mergeCell ref="B57:C57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2.0"/>
    <col customWidth="1" min="4" max="10" width="18.0"/>
    <col customWidth="1" min="1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6.0" customHeight="1">
      <c r="A2" s="1"/>
      <c r="B2" s="142" t="s">
        <v>269</v>
      </c>
      <c r="C2" s="3"/>
      <c r="D2" s="3"/>
      <c r="E2" s="3"/>
      <c r="F2" s="3"/>
      <c r="G2" s="3"/>
      <c r="H2" s="3"/>
      <c r="I2" s="3"/>
      <c r="J2" s="4"/>
      <c r="K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21.75" customHeight="1">
      <c r="A4" s="1"/>
      <c r="B4" s="10" t="s">
        <v>270</v>
      </c>
      <c r="C4" s="3"/>
      <c r="D4" s="3"/>
      <c r="E4" s="4"/>
      <c r="F4" s="1"/>
      <c r="G4" s="1"/>
      <c r="H4" s="1"/>
      <c r="I4" s="1"/>
      <c r="J4" s="1"/>
      <c r="K4" s="1"/>
    </row>
    <row r="5" ht="19.5" customHeight="1">
      <c r="A5" s="1"/>
      <c r="B5" s="14" t="s">
        <v>271</v>
      </c>
      <c r="C5" s="126">
        <v>7422750.0</v>
      </c>
      <c r="D5" s="185" t="s">
        <v>272</v>
      </c>
      <c r="E5" s="169"/>
      <c r="F5" s="1"/>
      <c r="G5" s="1"/>
      <c r="H5" s="1"/>
      <c r="I5" s="1"/>
      <c r="J5" s="1"/>
      <c r="K5" s="1"/>
    </row>
    <row r="6" ht="19.5" customHeight="1">
      <c r="A6" s="1"/>
      <c r="B6" s="20" t="s">
        <v>273</v>
      </c>
      <c r="C6" s="155">
        <v>6860594.0</v>
      </c>
      <c r="D6" s="186" t="s">
        <v>274</v>
      </c>
      <c r="E6" s="169"/>
      <c r="F6" s="1"/>
      <c r="G6" s="1"/>
      <c r="H6" s="1"/>
      <c r="I6" s="1"/>
      <c r="J6" s="1"/>
      <c r="K6" s="1"/>
    </row>
    <row r="7" ht="19.5" customHeight="1">
      <c r="A7" s="1"/>
      <c r="B7" s="14" t="s">
        <v>275</v>
      </c>
      <c r="C7" s="126">
        <v>562156.0</v>
      </c>
      <c r="D7" s="185" t="s">
        <v>276</v>
      </c>
      <c r="E7" s="169"/>
      <c r="F7" s="1"/>
      <c r="G7" s="1"/>
      <c r="H7" s="1"/>
      <c r="I7" s="1"/>
      <c r="J7" s="1"/>
      <c r="K7" s="1"/>
    </row>
    <row r="8" ht="19.5" customHeight="1">
      <c r="A8" s="1"/>
      <c r="B8" s="20" t="s">
        <v>277</v>
      </c>
      <c r="C8" s="187">
        <f>C6/C5</f>
        <v>0.9242658045</v>
      </c>
      <c r="D8" s="186" t="s">
        <v>278</v>
      </c>
      <c r="E8" s="169"/>
      <c r="F8" s="1"/>
      <c r="G8" s="1"/>
      <c r="H8" s="1"/>
      <c r="I8" s="1"/>
      <c r="J8" s="1"/>
      <c r="K8" s="1"/>
    </row>
    <row r="9" ht="19.5" customHeight="1">
      <c r="A9" s="1"/>
      <c r="B9" s="14" t="s">
        <v>279</v>
      </c>
      <c r="C9" s="188">
        <v>0.073</v>
      </c>
      <c r="D9" s="185" t="s">
        <v>280</v>
      </c>
      <c r="E9" s="169"/>
      <c r="F9" s="1"/>
      <c r="G9" s="1"/>
      <c r="H9" s="1"/>
      <c r="I9" s="1"/>
      <c r="J9" s="1"/>
      <c r="K9" s="1"/>
    </row>
    <row r="10" ht="19.5" customHeight="1">
      <c r="A10" s="1"/>
      <c r="B10" s="20" t="s">
        <v>281</v>
      </c>
      <c r="C10" s="155">
        <v>57328.0</v>
      </c>
      <c r="D10" s="186" t="s">
        <v>282</v>
      </c>
      <c r="E10" s="169"/>
      <c r="F10" s="1"/>
      <c r="G10" s="1"/>
      <c r="H10" s="1"/>
      <c r="I10" s="1"/>
      <c r="J10" s="1"/>
      <c r="K10" s="1"/>
    </row>
    <row r="11" ht="19.5" customHeight="1">
      <c r="A11" s="1"/>
      <c r="B11" s="14" t="s">
        <v>283</v>
      </c>
      <c r="C11" s="189">
        <v>269.0</v>
      </c>
      <c r="D11" s="185" t="s">
        <v>284</v>
      </c>
      <c r="E11" s="169"/>
      <c r="F11" s="1"/>
      <c r="G11" s="1"/>
      <c r="H11" s="1"/>
      <c r="I11" s="1"/>
      <c r="J11" s="1"/>
      <c r="K11" s="1"/>
    </row>
    <row r="12" ht="19.5" customHeight="1">
      <c r="A12" s="1"/>
      <c r="B12" s="20" t="s">
        <v>285</v>
      </c>
      <c r="C12" s="190" t="s">
        <v>286</v>
      </c>
      <c r="D12" s="186" t="s">
        <v>287</v>
      </c>
      <c r="E12" s="169"/>
      <c r="F12" s="1"/>
      <c r="G12" s="1"/>
      <c r="H12" s="1"/>
      <c r="I12" s="1"/>
      <c r="J12" s="1"/>
      <c r="K12" s="1"/>
    </row>
    <row r="13" ht="19.5" customHeight="1">
      <c r="A13" s="1"/>
      <c r="B13" s="14" t="s">
        <v>288</v>
      </c>
      <c r="C13" s="191" t="str">
        <f>TEXT(DATE(2026,4+COUNTIF(D35:D334,"&gt;0"),1),"MMM-YYYY")</f>
        <v>Mar-2044</v>
      </c>
      <c r="D13" s="185" t="s">
        <v>289</v>
      </c>
      <c r="E13" s="169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21.75" customHeight="1">
      <c r="A16" s="1"/>
      <c r="B16" s="131" t="s">
        <v>290</v>
      </c>
      <c r="C16" s="3"/>
      <c r="D16" s="3"/>
      <c r="E16" s="3"/>
      <c r="F16" s="3"/>
      <c r="G16" s="3"/>
      <c r="H16" s="3"/>
      <c r="I16" s="3"/>
      <c r="J16" s="4"/>
      <c r="K16" s="1"/>
    </row>
    <row r="17" ht="21.75" customHeight="1">
      <c r="A17" s="1"/>
      <c r="B17" s="192" t="s">
        <v>291</v>
      </c>
      <c r="C17" s="3"/>
      <c r="D17" s="3"/>
      <c r="E17" s="3"/>
      <c r="F17" s="3"/>
      <c r="G17" s="3"/>
      <c r="H17" s="3"/>
      <c r="I17" s="3"/>
      <c r="J17" s="4"/>
      <c r="K17" s="1"/>
    </row>
    <row r="18" ht="51.75" customHeight="1">
      <c r="A18" s="1"/>
      <c r="B18" s="193" t="s">
        <v>292</v>
      </c>
      <c r="C18" s="170"/>
      <c r="D18" s="170"/>
      <c r="E18" s="170"/>
      <c r="F18" s="170"/>
      <c r="G18" s="170"/>
      <c r="H18" s="170"/>
      <c r="I18" s="170"/>
      <c r="J18" s="116"/>
      <c r="K18" s="1"/>
    </row>
    <row r="19" ht="21.75" customHeight="1">
      <c r="A19" s="1"/>
      <c r="B19" s="194" t="s">
        <v>293</v>
      </c>
      <c r="C19" s="3"/>
      <c r="D19" s="3"/>
      <c r="E19" s="3"/>
      <c r="F19" s="3"/>
      <c r="G19" s="3"/>
      <c r="H19" s="3"/>
      <c r="I19" s="3"/>
      <c r="J19" s="4"/>
      <c r="K19" s="1"/>
    </row>
    <row r="20" ht="21.75" customHeight="1">
      <c r="A20" s="1"/>
      <c r="B20" s="195" t="s">
        <v>294</v>
      </c>
      <c r="C20" s="170"/>
      <c r="D20" s="170"/>
      <c r="E20" s="170"/>
      <c r="F20" s="170"/>
      <c r="G20" s="170"/>
      <c r="H20" s="170"/>
      <c r="I20" s="170"/>
      <c r="J20" s="116"/>
      <c r="K20" s="1"/>
    </row>
    <row r="21" ht="21.75" customHeight="1">
      <c r="A21" s="1"/>
      <c r="B21" s="195" t="s">
        <v>295</v>
      </c>
      <c r="C21" s="170"/>
      <c r="D21" s="170"/>
      <c r="E21" s="170"/>
      <c r="F21" s="170"/>
      <c r="G21" s="170"/>
      <c r="H21" s="170"/>
      <c r="I21" s="170"/>
      <c r="J21" s="116"/>
      <c r="K21" s="1"/>
    </row>
    <row r="22" ht="21.75" customHeight="1">
      <c r="A22" s="1"/>
      <c r="B22" s="195" t="s">
        <v>296</v>
      </c>
      <c r="C22" s="170"/>
      <c r="D22" s="170"/>
      <c r="E22" s="170"/>
      <c r="F22" s="170"/>
      <c r="G22" s="170"/>
      <c r="H22" s="170"/>
      <c r="I22" s="170"/>
      <c r="J22" s="116"/>
      <c r="K22" s="1"/>
    </row>
    <row r="23" ht="21.75" customHeight="1">
      <c r="A23" s="1"/>
      <c r="B23" s="195" t="s">
        <v>297</v>
      </c>
      <c r="C23" s="170"/>
      <c r="D23" s="170"/>
      <c r="E23" s="170"/>
      <c r="F23" s="170"/>
      <c r="G23" s="170"/>
      <c r="H23" s="170"/>
      <c r="I23" s="170"/>
      <c r="J23" s="116"/>
      <c r="K23" s="1"/>
    </row>
    <row r="24" ht="21.75" customHeight="1">
      <c r="A24" s="1"/>
      <c r="B24" s="196" t="s">
        <v>298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197" t="s">
        <v>299</v>
      </c>
      <c r="C25" s="170"/>
      <c r="D25" s="170"/>
      <c r="E25" s="170"/>
      <c r="F25" s="170"/>
      <c r="G25" s="170"/>
      <c r="H25" s="170"/>
      <c r="I25" s="170"/>
      <c r="J25" s="116"/>
      <c r="K25" s="1"/>
    </row>
    <row r="26" ht="30.0" customHeight="1">
      <c r="A26" s="1"/>
      <c r="B26" s="197" t="s">
        <v>300</v>
      </c>
      <c r="C26" s="170"/>
      <c r="D26" s="170"/>
      <c r="E26" s="170"/>
      <c r="F26" s="170"/>
      <c r="G26" s="170"/>
      <c r="H26" s="170"/>
      <c r="I26" s="170"/>
      <c r="J26" s="116"/>
      <c r="K26" s="1"/>
    </row>
    <row r="27" ht="21.75" customHeight="1">
      <c r="A27" s="1"/>
      <c r="B27" s="197" t="s">
        <v>301</v>
      </c>
      <c r="C27" s="170"/>
      <c r="D27" s="170"/>
      <c r="E27" s="170"/>
      <c r="F27" s="170"/>
      <c r="G27" s="170"/>
      <c r="H27" s="170"/>
      <c r="I27" s="170"/>
      <c r="J27" s="116"/>
      <c r="K27" s="1"/>
    </row>
    <row r="28" ht="21.75" customHeight="1">
      <c r="A28" s="1"/>
      <c r="B28" s="198" t="s">
        <v>302</v>
      </c>
      <c r="C28" s="3"/>
      <c r="D28" s="3"/>
      <c r="E28" s="3"/>
      <c r="F28" s="3"/>
      <c r="G28" s="3"/>
      <c r="H28" s="3"/>
      <c r="I28" s="3"/>
      <c r="J28" s="4"/>
      <c r="K28" s="1"/>
    </row>
    <row r="29" ht="33.0" customHeight="1">
      <c r="A29" s="1"/>
      <c r="B29" s="199" t="s">
        <v>303</v>
      </c>
      <c r="C29" s="170"/>
      <c r="D29" s="170"/>
      <c r="E29" s="170"/>
      <c r="F29" s="170"/>
      <c r="G29" s="170"/>
      <c r="H29" s="170"/>
      <c r="I29" s="170"/>
      <c r="J29" s="116"/>
      <c r="K29" s="1"/>
    </row>
    <row r="30" ht="21.75" customHeight="1">
      <c r="A30" s="1"/>
      <c r="B30" s="199" t="s">
        <v>304</v>
      </c>
      <c r="C30" s="170"/>
      <c r="D30" s="170"/>
      <c r="E30" s="170"/>
      <c r="F30" s="170"/>
      <c r="G30" s="170"/>
      <c r="H30" s="170"/>
      <c r="I30" s="170"/>
      <c r="J30" s="116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7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21.75" customHeight="1">
      <c r="A33" s="1"/>
      <c r="B33" s="10" t="s">
        <v>305</v>
      </c>
      <c r="C33" s="3"/>
      <c r="D33" s="3"/>
      <c r="E33" s="3"/>
      <c r="F33" s="3"/>
      <c r="G33" s="3"/>
      <c r="H33" s="3"/>
      <c r="I33" s="3"/>
      <c r="J33" s="4"/>
      <c r="K33" s="1"/>
    </row>
    <row r="34" ht="39.75" customHeight="1">
      <c r="A34" s="1"/>
      <c r="B34" s="200" t="s">
        <v>306</v>
      </c>
      <c r="C34" s="200" t="s">
        <v>307</v>
      </c>
      <c r="D34" s="200" t="s">
        <v>308</v>
      </c>
      <c r="E34" s="200" t="s">
        <v>309</v>
      </c>
      <c r="F34" s="200" t="s">
        <v>310</v>
      </c>
      <c r="G34" s="200" t="s">
        <v>311</v>
      </c>
      <c r="H34" s="201" t="s">
        <v>312</v>
      </c>
      <c r="I34" s="200" t="s">
        <v>313</v>
      </c>
      <c r="J34" s="200" t="s">
        <v>314</v>
      </c>
      <c r="K34" s="1"/>
    </row>
    <row r="35" ht="18.0" customHeight="1">
      <c r="A35" s="1"/>
      <c r="B35" s="37">
        <v>1.0</v>
      </c>
      <c r="C35" s="37" t="s">
        <v>315</v>
      </c>
      <c r="D35" s="202">
        <f>C6</f>
        <v>6860594</v>
      </c>
      <c r="E35" s="202">
        <f t="shared" ref="E35:E334" si="1">IF(D35&gt;0,MIN($C$10,D35+F35),0)</f>
        <v>57328</v>
      </c>
      <c r="F35" s="203">
        <f t="shared" ref="F35:F334" si="2">IF(D35&gt;0,ROUND(D35*$C$9/12,0),0)</f>
        <v>41735</v>
      </c>
      <c r="G35" s="204">
        <f t="shared" ref="G35:G334" si="3">IF(D35&gt;0,MAX(0,E35-F35),0)</f>
        <v>15593</v>
      </c>
      <c r="H35" s="205">
        <v>0.0</v>
      </c>
      <c r="I35" s="206">
        <f t="shared" ref="I35:I334" si="4">IF(D35&gt;0,MAX(0,D35-G35-H35),0)</f>
        <v>6845001</v>
      </c>
      <c r="J35" s="207" t="s">
        <v>316</v>
      </c>
      <c r="K35" s="1"/>
    </row>
    <row r="36" ht="18.0" customHeight="1">
      <c r="A36" s="1"/>
      <c r="B36" s="52">
        <v>2.0</v>
      </c>
      <c r="C36" s="52" t="s">
        <v>317</v>
      </c>
      <c r="D36" s="208">
        <f t="shared" ref="D36:D334" si="5">IF(I35&gt;0,I35,0)</f>
        <v>6845001</v>
      </c>
      <c r="E36" s="208">
        <f t="shared" si="1"/>
        <v>57328</v>
      </c>
      <c r="F36" s="209">
        <f t="shared" si="2"/>
        <v>41640</v>
      </c>
      <c r="G36" s="210">
        <f t="shared" si="3"/>
        <v>15688</v>
      </c>
      <c r="H36" s="205">
        <v>0.0</v>
      </c>
      <c r="I36" s="206">
        <f t="shared" si="4"/>
        <v>6829313</v>
      </c>
      <c r="J36" s="211" t="s">
        <v>59</v>
      </c>
      <c r="K36" s="1"/>
    </row>
    <row r="37" ht="18.0" customHeight="1">
      <c r="A37" s="1"/>
      <c r="B37" s="37">
        <v>3.0</v>
      </c>
      <c r="C37" s="37" t="s">
        <v>318</v>
      </c>
      <c r="D37" s="202">
        <f t="shared" si="5"/>
        <v>6829313</v>
      </c>
      <c r="E37" s="202">
        <f t="shared" si="1"/>
        <v>57328</v>
      </c>
      <c r="F37" s="203">
        <f t="shared" si="2"/>
        <v>41545</v>
      </c>
      <c r="G37" s="204">
        <f t="shared" si="3"/>
        <v>15783</v>
      </c>
      <c r="H37" s="205">
        <v>0.0</v>
      </c>
      <c r="I37" s="202">
        <f t="shared" si="4"/>
        <v>6813530</v>
      </c>
      <c r="J37" s="211" t="s">
        <v>59</v>
      </c>
      <c r="K37" s="1"/>
    </row>
    <row r="38" ht="18.0" customHeight="1">
      <c r="A38" s="1"/>
      <c r="B38" s="52">
        <v>4.0</v>
      </c>
      <c r="C38" s="52" t="s">
        <v>319</v>
      </c>
      <c r="D38" s="208">
        <f t="shared" si="5"/>
        <v>6813530</v>
      </c>
      <c r="E38" s="208">
        <f t="shared" si="1"/>
        <v>57328</v>
      </c>
      <c r="F38" s="209">
        <f t="shared" si="2"/>
        <v>41449</v>
      </c>
      <c r="G38" s="210">
        <f t="shared" si="3"/>
        <v>15879</v>
      </c>
      <c r="H38" s="205">
        <v>0.0</v>
      </c>
      <c r="I38" s="208">
        <f t="shared" si="4"/>
        <v>6797651</v>
      </c>
      <c r="J38" s="212" t="s">
        <v>59</v>
      </c>
      <c r="K38" s="1"/>
    </row>
    <row r="39" ht="18.0" customHeight="1">
      <c r="A39" s="1"/>
      <c r="B39" s="37">
        <v>5.0</v>
      </c>
      <c r="C39" s="37" t="s">
        <v>320</v>
      </c>
      <c r="D39" s="202">
        <f t="shared" si="5"/>
        <v>6797651</v>
      </c>
      <c r="E39" s="202">
        <f t="shared" si="1"/>
        <v>57328</v>
      </c>
      <c r="F39" s="203">
        <f t="shared" si="2"/>
        <v>41352</v>
      </c>
      <c r="G39" s="204">
        <f t="shared" si="3"/>
        <v>15976</v>
      </c>
      <c r="H39" s="205">
        <v>0.0</v>
      </c>
      <c r="I39" s="202">
        <f t="shared" si="4"/>
        <v>6781675</v>
      </c>
      <c r="J39" s="213" t="s">
        <v>59</v>
      </c>
      <c r="K39" s="1"/>
    </row>
    <row r="40" ht="18.0" customHeight="1">
      <c r="A40" s="1"/>
      <c r="B40" s="52">
        <v>6.0</v>
      </c>
      <c r="C40" s="52" t="s">
        <v>321</v>
      </c>
      <c r="D40" s="208">
        <f t="shared" si="5"/>
        <v>6781675</v>
      </c>
      <c r="E40" s="208">
        <f t="shared" si="1"/>
        <v>57328</v>
      </c>
      <c r="F40" s="209">
        <f t="shared" si="2"/>
        <v>41255</v>
      </c>
      <c r="G40" s="210">
        <f t="shared" si="3"/>
        <v>16073</v>
      </c>
      <c r="H40" s="205">
        <v>0.0</v>
      </c>
      <c r="I40" s="208">
        <f t="shared" si="4"/>
        <v>6765602</v>
      </c>
      <c r="J40" s="212" t="s">
        <v>59</v>
      </c>
      <c r="K40" s="1"/>
    </row>
    <row r="41" ht="18.0" customHeight="1">
      <c r="A41" s="1"/>
      <c r="B41" s="37">
        <v>7.0</v>
      </c>
      <c r="C41" s="37" t="s">
        <v>322</v>
      </c>
      <c r="D41" s="202">
        <f t="shared" si="5"/>
        <v>6765602</v>
      </c>
      <c r="E41" s="202">
        <f t="shared" si="1"/>
        <v>57328</v>
      </c>
      <c r="F41" s="203">
        <f t="shared" si="2"/>
        <v>41157</v>
      </c>
      <c r="G41" s="204">
        <f t="shared" si="3"/>
        <v>16171</v>
      </c>
      <c r="H41" s="205">
        <v>0.0</v>
      </c>
      <c r="I41" s="202">
        <f t="shared" si="4"/>
        <v>6749431</v>
      </c>
      <c r="J41" s="213" t="s">
        <v>59</v>
      </c>
      <c r="K41" s="1"/>
    </row>
    <row r="42" ht="18.0" customHeight="1">
      <c r="A42" s="1"/>
      <c r="B42" s="52">
        <v>8.0</v>
      </c>
      <c r="C42" s="52" t="s">
        <v>323</v>
      </c>
      <c r="D42" s="208">
        <f t="shared" si="5"/>
        <v>6749431</v>
      </c>
      <c r="E42" s="208">
        <f t="shared" si="1"/>
        <v>57328</v>
      </c>
      <c r="F42" s="209">
        <f t="shared" si="2"/>
        <v>41059</v>
      </c>
      <c r="G42" s="210">
        <f t="shared" si="3"/>
        <v>16269</v>
      </c>
      <c r="H42" s="205">
        <v>0.0</v>
      </c>
      <c r="I42" s="208">
        <f t="shared" si="4"/>
        <v>6733162</v>
      </c>
      <c r="J42" s="212" t="s">
        <v>59</v>
      </c>
      <c r="K42" s="1"/>
    </row>
    <row r="43" ht="18.0" customHeight="1">
      <c r="A43" s="1"/>
      <c r="B43" s="37">
        <v>9.0</v>
      </c>
      <c r="C43" s="37" t="s">
        <v>324</v>
      </c>
      <c r="D43" s="202">
        <f t="shared" si="5"/>
        <v>6733162</v>
      </c>
      <c r="E43" s="202">
        <f t="shared" si="1"/>
        <v>57328</v>
      </c>
      <c r="F43" s="203">
        <f t="shared" si="2"/>
        <v>40960</v>
      </c>
      <c r="G43" s="204">
        <f t="shared" si="3"/>
        <v>16368</v>
      </c>
      <c r="H43" s="205">
        <v>0.0</v>
      </c>
      <c r="I43" s="202">
        <f t="shared" si="4"/>
        <v>6716794</v>
      </c>
      <c r="J43" s="213" t="s">
        <v>59</v>
      </c>
      <c r="K43" s="1"/>
    </row>
    <row r="44" ht="18.0" customHeight="1">
      <c r="A44" s="1"/>
      <c r="B44" s="52">
        <v>10.0</v>
      </c>
      <c r="C44" s="52" t="s">
        <v>325</v>
      </c>
      <c r="D44" s="208">
        <f t="shared" si="5"/>
        <v>6716794</v>
      </c>
      <c r="E44" s="208">
        <f t="shared" si="1"/>
        <v>57328</v>
      </c>
      <c r="F44" s="209">
        <f t="shared" si="2"/>
        <v>40860</v>
      </c>
      <c r="G44" s="210">
        <f t="shared" si="3"/>
        <v>16468</v>
      </c>
      <c r="H44" s="205">
        <v>0.0</v>
      </c>
      <c r="I44" s="208">
        <f t="shared" si="4"/>
        <v>6700326</v>
      </c>
      <c r="J44" s="212" t="s">
        <v>59</v>
      </c>
      <c r="K44" s="1"/>
    </row>
    <row r="45" ht="18.0" customHeight="1">
      <c r="A45" s="1"/>
      <c r="B45" s="37">
        <v>11.0</v>
      </c>
      <c r="C45" s="37" t="s">
        <v>326</v>
      </c>
      <c r="D45" s="202">
        <f t="shared" si="5"/>
        <v>6700326</v>
      </c>
      <c r="E45" s="202">
        <f t="shared" si="1"/>
        <v>57328</v>
      </c>
      <c r="F45" s="203">
        <f t="shared" si="2"/>
        <v>40760</v>
      </c>
      <c r="G45" s="204">
        <f t="shared" si="3"/>
        <v>16568</v>
      </c>
      <c r="H45" s="205">
        <v>0.0</v>
      </c>
      <c r="I45" s="202">
        <f t="shared" si="4"/>
        <v>6683758</v>
      </c>
      <c r="J45" s="213" t="s">
        <v>59</v>
      </c>
      <c r="K45" s="1"/>
    </row>
    <row r="46" ht="18.0" customHeight="1">
      <c r="A46" s="1"/>
      <c r="B46" s="52">
        <v>12.0</v>
      </c>
      <c r="C46" s="52" t="s">
        <v>327</v>
      </c>
      <c r="D46" s="208">
        <f t="shared" si="5"/>
        <v>6683758</v>
      </c>
      <c r="E46" s="208">
        <f t="shared" si="1"/>
        <v>57328</v>
      </c>
      <c r="F46" s="209">
        <f t="shared" si="2"/>
        <v>40660</v>
      </c>
      <c r="G46" s="210">
        <f t="shared" si="3"/>
        <v>16668</v>
      </c>
      <c r="H46" s="205">
        <v>0.0</v>
      </c>
      <c r="I46" s="208">
        <f t="shared" si="4"/>
        <v>6667090</v>
      </c>
      <c r="J46" s="212" t="s">
        <v>59</v>
      </c>
      <c r="K46" s="1"/>
    </row>
    <row r="47" ht="18.0" customHeight="1">
      <c r="A47" s="1"/>
      <c r="B47" s="37">
        <v>13.0</v>
      </c>
      <c r="C47" s="37" t="s">
        <v>328</v>
      </c>
      <c r="D47" s="202">
        <f t="shared" si="5"/>
        <v>6667090</v>
      </c>
      <c r="E47" s="202">
        <f t="shared" si="1"/>
        <v>57328</v>
      </c>
      <c r="F47" s="203">
        <f t="shared" si="2"/>
        <v>40558</v>
      </c>
      <c r="G47" s="204">
        <f t="shared" si="3"/>
        <v>16770</v>
      </c>
      <c r="H47" s="205">
        <v>0.0</v>
      </c>
      <c r="I47" s="202">
        <f t="shared" si="4"/>
        <v>6650320</v>
      </c>
      <c r="J47" s="213" t="s">
        <v>59</v>
      </c>
      <c r="K47" s="1"/>
    </row>
    <row r="48" ht="18.0" customHeight="1">
      <c r="A48" s="1"/>
      <c r="B48" s="52">
        <v>14.0</v>
      </c>
      <c r="C48" s="52" t="s">
        <v>329</v>
      </c>
      <c r="D48" s="208">
        <f t="shared" si="5"/>
        <v>6650320</v>
      </c>
      <c r="E48" s="208">
        <f t="shared" si="1"/>
        <v>57328</v>
      </c>
      <c r="F48" s="209">
        <f t="shared" si="2"/>
        <v>40456</v>
      </c>
      <c r="G48" s="210">
        <f t="shared" si="3"/>
        <v>16872</v>
      </c>
      <c r="H48" s="205">
        <v>0.0</v>
      </c>
      <c r="I48" s="208">
        <f t="shared" si="4"/>
        <v>6633448</v>
      </c>
      <c r="J48" s="212" t="s">
        <v>59</v>
      </c>
      <c r="K48" s="1"/>
    </row>
    <row r="49" ht="18.0" customHeight="1">
      <c r="A49" s="1"/>
      <c r="B49" s="37">
        <v>15.0</v>
      </c>
      <c r="C49" s="37" t="s">
        <v>330</v>
      </c>
      <c r="D49" s="202">
        <f t="shared" si="5"/>
        <v>6633448</v>
      </c>
      <c r="E49" s="202">
        <f t="shared" si="1"/>
        <v>57328</v>
      </c>
      <c r="F49" s="203">
        <f t="shared" si="2"/>
        <v>40353</v>
      </c>
      <c r="G49" s="204">
        <f t="shared" si="3"/>
        <v>16975</v>
      </c>
      <c r="H49" s="205">
        <v>0.0</v>
      </c>
      <c r="I49" s="202">
        <f t="shared" si="4"/>
        <v>6616473</v>
      </c>
      <c r="J49" s="213" t="s">
        <v>59</v>
      </c>
      <c r="K49" s="1"/>
    </row>
    <row r="50" ht="18.0" customHeight="1">
      <c r="A50" s="1"/>
      <c r="B50" s="52">
        <v>16.0</v>
      </c>
      <c r="C50" s="52" t="s">
        <v>331</v>
      </c>
      <c r="D50" s="208">
        <f t="shared" si="5"/>
        <v>6616473</v>
      </c>
      <c r="E50" s="208">
        <f t="shared" si="1"/>
        <v>57328</v>
      </c>
      <c r="F50" s="209">
        <f t="shared" si="2"/>
        <v>40250</v>
      </c>
      <c r="G50" s="210">
        <f t="shared" si="3"/>
        <v>17078</v>
      </c>
      <c r="H50" s="205">
        <v>0.0</v>
      </c>
      <c r="I50" s="208">
        <f t="shared" si="4"/>
        <v>6599395</v>
      </c>
      <c r="J50" s="212" t="s">
        <v>59</v>
      </c>
      <c r="K50" s="1"/>
    </row>
    <row r="51" ht="18.0" customHeight="1">
      <c r="A51" s="1"/>
      <c r="B51" s="37">
        <v>17.0</v>
      </c>
      <c r="C51" s="37" t="s">
        <v>332</v>
      </c>
      <c r="D51" s="202">
        <f t="shared" si="5"/>
        <v>6599395</v>
      </c>
      <c r="E51" s="202">
        <f t="shared" si="1"/>
        <v>57328</v>
      </c>
      <c r="F51" s="203">
        <f t="shared" si="2"/>
        <v>40146</v>
      </c>
      <c r="G51" s="204">
        <f t="shared" si="3"/>
        <v>17182</v>
      </c>
      <c r="H51" s="205">
        <v>0.0</v>
      </c>
      <c r="I51" s="202">
        <f t="shared" si="4"/>
        <v>6582213</v>
      </c>
      <c r="J51" s="213" t="s">
        <v>59</v>
      </c>
      <c r="K51" s="1"/>
    </row>
    <row r="52" ht="18.0" customHeight="1">
      <c r="A52" s="1"/>
      <c r="B52" s="52">
        <v>18.0</v>
      </c>
      <c r="C52" s="52" t="s">
        <v>333</v>
      </c>
      <c r="D52" s="208">
        <f t="shared" si="5"/>
        <v>6582213</v>
      </c>
      <c r="E52" s="208">
        <f t="shared" si="1"/>
        <v>57328</v>
      </c>
      <c r="F52" s="209">
        <f t="shared" si="2"/>
        <v>40042</v>
      </c>
      <c r="G52" s="210">
        <f t="shared" si="3"/>
        <v>17286</v>
      </c>
      <c r="H52" s="205">
        <v>0.0</v>
      </c>
      <c r="I52" s="208">
        <f t="shared" si="4"/>
        <v>6564927</v>
      </c>
      <c r="J52" s="212" t="s">
        <v>59</v>
      </c>
      <c r="K52" s="1"/>
    </row>
    <row r="53" ht="18.0" customHeight="1">
      <c r="A53" s="1"/>
      <c r="B53" s="37">
        <v>19.0</v>
      </c>
      <c r="C53" s="37" t="s">
        <v>334</v>
      </c>
      <c r="D53" s="202">
        <f t="shared" si="5"/>
        <v>6564927</v>
      </c>
      <c r="E53" s="202">
        <f t="shared" si="1"/>
        <v>57328</v>
      </c>
      <c r="F53" s="203">
        <f t="shared" si="2"/>
        <v>39937</v>
      </c>
      <c r="G53" s="204">
        <f t="shared" si="3"/>
        <v>17391</v>
      </c>
      <c r="H53" s="205">
        <v>0.0</v>
      </c>
      <c r="I53" s="202">
        <f t="shared" si="4"/>
        <v>6547536</v>
      </c>
      <c r="J53" s="213" t="s">
        <v>59</v>
      </c>
      <c r="K53" s="1"/>
    </row>
    <row r="54" ht="18.0" customHeight="1">
      <c r="A54" s="1"/>
      <c r="B54" s="52">
        <v>20.0</v>
      </c>
      <c r="C54" s="52" t="s">
        <v>335</v>
      </c>
      <c r="D54" s="208">
        <f t="shared" si="5"/>
        <v>6547536</v>
      </c>
      <c r="E54" s="208">
        <f t="shared" si="1"/>
        <v>57328</v>
      </c>
      <c r="F54" s="209">
        <f t="shared" si="2"/>
        <v>39831</v>
      </c>
      <c r="G54" s="210">
        <f t="shared" si="3"/>
        <v>17497</v>
      </c>
      <c r="H54" s="205">
        <v>0.0</v>
      </c>
      <c r="I54" s="208">
        <f t="shared" si="4"/>
        <v>6530039</v>
      </c>
      <c r="J54" s="212" t="s">
        <v>59</v>
      </c>
      <c r="K54" s="1"/>
    </row>
    <row r="55" ht="18.0" customHeight="1">
      <c r="A55" s="1"/>
      <c r="B55" s="37">
        <v>21.0</v>
      </c>
      <c r="C55" s="37" t="s">
        <v>336</v>
      </c>
      <c r="D55" s="202">
        <f t="shared" si="5"/>
        <v>6530039</v>
      </c>
      <c r="E55" s="202">
        <f t="shared" si="1"/>
        <v>57328</v>
      </c>
      <c r="F55" s="203">
        <f t="shared" si="2"/>
        <v>39724</v>
      </c>
      <c r="G55" s="204">
        <f t="shared" si="3"/>
        <v>17604</v>
      </c>
      <c r="H55" s="205">
        <v>0.0</v>
      </c>
      <c r="I55" s="202">
        <f t="shared" si="4"/>
        <v>6512435</v>
      </c>
      <c r="J55" s="213" t="s">
        <v>59</v>
      </c>
      <c r="K55" s="1"/>
    </row>
    <row r="56" ht="18.0" customHeight="1">
      <c r="A56" s="1"/>
      <c r="B56" s="52">
        <v>22.0</v>
      </c>
      <c r="C56" s="52" t="s">
        <v>337</v>
      </c>
      <c r="D56" s="208">
        <f t="shared" si="5"/>
        <v>6512435</v>
      </c>
      <c r="E56" s="208">
        <f t="shared" si="1"/>
        <v>57328</v>
      </c>
      <c r="F56" s="209">
        <f t="shared" si="2"/>
        <v>39617</v>
      </c>
      <c r="G56" s="210">
        <f t="shared" si="3"/>
        <v>17711</v>
      </c>
      <c r="H56" s="205">
        <v>0.0</v>
      </c>
      <c r="I56" s="208">
        <f t="shared" si="4"/>
        <v>6494724</v>
      </c>
      <c r="J56" s="212" t="s">
        <v>59</v>
      </c>
      <c r="K56" s="1"/>
    </row>
    <row r="57" ht="18.0" customHeight="1">
      <c r="A57" s="1"/>
      <c r="B57" s="37">
        <v>23.0</v>
      </c>
      <c r="C57" s="37" t="s">
        <v>338</v>
      </c>
      <c r="D57" s="202">
        <f t="shared" si="5"/>
        <v>6494724</v>
      </c>
      <c r="E57" s="202">
        <f t="shared" si="1"/>
        <v>57328</v>
      </c>
      <c r="F57" s="203">
        <f t="shared" si="2"/>
        <v>39510</v>
      </c>
      <c r="G57" s="204">
        <f t="shared" si="3"/>
        <v>17818</v>
      </c>
      <c r="H57" s="205">
        <v>0.0</v>
      </c>
      <c r="I57" s="202">
        <f t="shared" si="4"/>
        <v>6476906</v>
      </c>
      <c r="J57" s="213" t="s">
        <v>59</v>
      </c>
      <c r="K57" s="1"/>
    </row>
    <row r="58" ht="18.0" customHeight="1">
      <c r="A58" s="1"/>
      <c r="B58" s="52">
        <v>24.0</v>
      </c>
      <c r="C58" s="52" t="s">
        <v>339</v>
      </c>
      <c r="D58" s="208">
        <f t="shared" si="5"/>
        <v>6476906</v>
      </c>
      <c r="E58" s="208">
        <f t="shared" si="1"/>
        <v>57328</v>
      </c>
      <c r="F58" s="209">
        <f t="shared" si="2"/>
        <v>39401</v>
      </c>
      <c r="G58" s="210">
        <f t="shared" si="3"/>
        <v>17927</v>
      </c>
      <c r="H58" s="205">
        <v>0.0</v>
      </c>
      <c r="I58" s="208">
        <f t="shared" si="4"/>
        <v>6458979</v>
      </c>
      <c r="J58" s="212" t="s">
        <v>59</v>
      </c>
      <c r="K58" s="1"/>
    </row>
    <row r="59" ht="18.0" customHeight="1">
      <c r="A59" s="1"/>
      <c r="B59" s="37">
        <v>25.0</v>
      </c>
      <c r="C59" s="37" t="s">
        <v>340</v>
      </c>
      <c r="D59" s="202">
        <f t="shared" si="5"/>
        <v>6458979</v>
      </c>
      <c r="E59" s="202">
        <f t="shared" si="1"/>
        <v>57328</v>
      </c>
      <c r="F59" s="203">
        <f t="shared" si="2"/>
        <v>39292</v>
      </c>
      <c r="G59" s="204">
        <f t="shared" si="3"/>
        <v>18036</v>
      </c>
      <c r="H59" s="205">
        <v>0.0</v>
      </c>
      <c r="I59" s="202">
        <f t="shared" si="4"/>
        <v>6440943</v>
      </c>
      <c r="J59" s="213" t="s">
        <v>59</v>
      </c>
      <c r="K59" s="1"/>
    </row>
    <row r="60" ht="18.0" customHeight="1">
      <c r="A60" s="1"/>
      <c r="B60" s="52">
        <v>26.0</v>
      </c>
      <c r="C60" s="52" t="s">
        <v>341</v>
      </c>
      <c r="D60" s="208">
        <f t="shared" si="5"/>
        <v>6440943</v>
      </c>
      <c r="E60" s="208">
        <f t="shared" si="1"/>
        <v>57328</v>
      </c>
      <c r="F60" s="209">
        <f t="shared" si="2"/>
        <v>39182</v>
      </c>
      <c r="G60" s="210">
        <f t="shared" si="3"/>
        <v>18146</v>
      </c>
      <c r="H60" s="205">
        <v>0.0</v>
      </c>
      <c r="I60" s="208">
        <f t="shared" si="4"/>
        <v>6422797</v>
      </c>
      <c r="J60" s="212" t="s">
        <v>59</v>
      </c>
      <c r="K60" s="1"/>
    </row>
    <row r="61" ht="18.0" customHeight="1">
      <c r="A61" s="1"/>
      <c r="B61" s="37">
        <v>27.0</v>
      </c>
      <c r="C61" s="37" t="s">
        <v>342</v>
      </c>
      <c r="D61" s="202">
        <f t="shared" si="5"/>
        <v>6422797</v>
      </c>
      <c r="E61" s="202">
        <f t="shared" si="1"/>
        <v>57328</v>
      </c>
      <c r="F61" s="203">
        <f t="shared" si="2"/>
        <v>39072</v>
      </c>
      <c r="G61" s="204">
        <f t="shared" si="3"/>
        <v>18256</v>
      </c>
      <c r="H61" s="205">
        <v>0.0</v>
      </c>
      <c r="I61" s="202">
        <f t="shared" si="4"/>
        <v>6404541</v>
      </c>
      <c r="J61" s="213" t="s">
        <v>59</v>
      </c>
      <c r="K61" s="1"/>
    </row>
    <row r="62" ht="18.0" customHeight="1">
      <c r="A62" s="1"/>
      <c r="B62" s="52">
        <v>28.0</v>
      </c>
      <c r="C62" s="52" t="s">
        <v>343</v>
      </c>
      <c r="D62" s="208">
        <f t="shared" si="5"/>
        <v>6404541</v>
      </c>
      <c r="E62" s="208">
        <f t="shared" si="1"/>
        <v>57328</v>
      </c>
      <c r="F62" s="209">
        <f t="shared" si="2"/>
        <v>38961</v>
      </c>
      <c r="G62" s="210">
        <f t="shared" si="3"/>
        <v>18367</v>
      </c>
      <c r="H62" s="205">
        <v>0.0</v>
      </c>
      <c r="I62" s="208">
        <f t="shared" si="4"/>
        <v>6386174</v>
      </c>
      <c r="J62" s="212" t="s">
        <v>59</v>
      </c>
      <c r="K62" s="1"/>
    </row>
    <row r="63" ht="18.0" customHeight="1">
      <c r="A63" s="1"/>
      <c r="B63" s="37">
        <v>29.0</v>
      </c>
      <c r="C63" s="37" t="s">
        <v>344</v>
      </c>
      <c r="D63" s="202">
        <f t="shared" si="5"/>
        <v>6386174</v>
      </c>
      <c r="E63" s="202">
        <f t="shared" si="1"/>
        <v>57328</v>
      </c>
      <c r="F63" s="203">
        <f t="shared" si="2"/>
        <v>38849</v>
      </c>
      <c r="G63" s="204">
        <f t="shared" si="3"/>
        <v>18479</v>
      </c>
      <c r="H63" s="205">
        <v>0.0</v>
      </c>
      <c r="I63" s="202">
        <f t="shared" si="4"/>
        <v>6367695</v>
      </c>
      <c r="J63" s="213" t="s">
        <v>59</v>
      </c>
      <c r="K63" s="1"/>
    </row>
    <row r="64" ht="18.0" customHeight="1">
      <c r="A64" s="1"/>
      <c r="B64" s="52">
        <v>30.0</v>
      </c>
      <c r="C64" s="52" t="s">
        <v>345</v>
      </c>
      <c r="D64" s="208">
        <f t="shared" si="5"/>
        <v>6367695</v>
      </c>
      <c r="E64" s="208">
        <f t="shared" si="1"/>
        <v>57328</v>
      </c>
      <c r="F64" s="209">
        <f t="shared" si="2"/>
        <v>38737</v>
      </c>
      <c r="G64" s="210">
        <f t="shared" si="3"/>
        <v>18591</v>
      </c>
      <c r="H64" s="205">
        <v>0.0</v>
      </c>
      <c r="I64" s="208">
        <f t="shared" si="4"/>
        <v>6349104</v>
      </c>
      <c r="J64" s="212" t="s">
        <v>59</v>
      </c>
      <c r="K64" s="1"/>
    </row>
    <row r="65" ht="18.0" customHeight="1">
      <c r="A65" s="1"/>
      <c r="B65" s="37">
        <v>31.0</v>
      </c>
      <c r="C65" s="37" t="s">
        <v>346</v>
      </c>
      <c r="D65" s="202">
        <f t="shared" si="5"/>
        <v>6349104</v>
      </c>
      <c r="E65" s="202">
        <f t="shared" si="1"/>
        <v>57328</v>
      </c>
      <c r="F65" s="203">
        <f t="shared" si="2"/>
        <v>38624</v>
      </c>
      <c r="G65" s="204">
        <f t="shared" si="3"/>
        <v>18704</v>
      </c>
      <c r="H65" s="205">
        <v>0.0</v>
      </c>
      <c r="I65" s="202">
        <f t="shared" si="4"/>
        <v>6330400</v>
      </c>
      <c r="J65" s="213" t="s">
        <v>59</v>
      </c>
      <c r="K65" s="1"/>
    </row>
    <row r="66" ht="18.0" customHeight="1">
      <c r="A66" s="1"/>
      <c r="B66" s="52">
        <v>32.0</v>
      </c>
      <c r="C66" s="52" t="s">
        <v>347</v>
      </c>
      <c r="D66" s="208">
        <f t="shared" si="5"/>
        <v>6330400</v>
      </c>
      <c r="E66" s="208">
        <f t="shared" si="1"/>
        <v>57328</v>
      </c>
      <c r="F66" s="209">
        <f t="shared" si="2"/>
        <v>38510</v>
      </c>
      <c r="G66" s="210">
        <f t="shared" si="3"/>
        <v>18818</v>
      </c>
      <c r="H66" s="205">
        <v>0.0</v>
      </c>
      <c r="I66" s="208">
        <f t="shared" si="4"/>
        <v>6311582</v>
      </c>
      <c r="J66" s="212" t="s">
        <v>59</v>
      </c>
      <c r="K66" s="1"/>
    </row>
    <row r="67" ht="18.0" customHeight="1">
      <c r="A67" s="1"/>
      <c r="B67" s="37">
        <v>33.0</v>
      </c>
      <c r="C67" s="37" t="s">
        <v>348</v>
      </c>
      <c r="D67" s="202">
        <f t="shared" si="5"/>
        <v>6311582</v>
      </c>
      <c r="E67" s="202">
        <f t="shared" si="1"/>
        <v>57328</v>
      </c>
      <c r="F67" s="203">
        <f t="shared" si="2"/>
        <v>38395</v>
      </c>
      <c r="G67" s="204">
        <f t="shared" si="3"/>
        <v>18933</v>
      </c>
      <c r="H67" s="205">
        <v>0.0</v>
      </c>
      <c r="I67" s="202">
        <f t="shared" si="4"/>
        <v>6292649</v>
      </c>
      <c r="J67" s="213" t="s">
        <v>59</v>
      </c>
      <c r="K67" s="1"/>
    </row>
    <row r="68" ht="18.0" customHeight="1">
      <c r="A68" s="1"/>
      <c r="B68" s="52">
        <v>34.0</v>
      </c>
      <c r="C68" s="52" t="s">
        <v>349</v>
      </c>
      <c r="D68" s="208">
        <f t="shared" si="5"/>
        <v>6292649</v>
      </c>
      <c r="E68" s="208">
        <f t="shared" si="1"/>
        <v>57328</v>
      </c>
      <c r="F68" s="209">
        <f t="shared" si="2"/>
        <v>38280</v>
      </c>
      <c r="G68" s="210">
        <f t="shared" si="3"/>
        <v>19048</v>
      </c>
      <c r="H68" s="205">
        <v>0.0</v>
      </c>
      <c r="I68" s="208">
        <f t="shared" si="4"/>
        <v>6273601</v>
      </c>
      <c r="J68" s="212" t="s">
        <v>59</v>
      </c>
      <c r="K68" s="1"/>
    </row>
    <row r="69" ht="18.0" customHeight="1">
      <c r="A69" s="1"/>
      <c r="B69" s="37">
        <v>35.0</v>
      </c>
      <c r="C69" s="37" t="s">
        <v>350</v>
      </c>
      <c r="D69" s="202">
        <f t="shared" si="5"/>
        <v>6273601</v>
      </c>
      <c r="E69" s="202">
        <f t="shared" si="1"/>
        <v>57328</v>
      </c>
      <c r="F69" s="203">
        <f t="shared" si="2"/>
        <v>38164</v>
      </c>
      <c r="G69" s="204">
        <f t="shared" si="3"/>
        <v>19164</v>
      </c>
      <c r="H69" s="205">
        <v>0.0</v>
      </c>
      <c r="I69" s="202">
        <f t="shared" si="4"/>
        <v>6254437</v>
      </c>
      <c r="J69" s="213" t="s">
        <v>59</v>
      </c>
      <c r="K69" s="1"/>
    </row>
    <row r="70" ht="18.0" customHeight="1">
      <c r="A70" s="1"/>
      <c r="B70" s="52">
        <v>36.0</v>
      </c>
      <c r="C70" s="52" t="s">
        <v>351</v>
      </c>
      <c r="D70" s="208">
        <f t="shared" si="5"/>
        <v>6254437</v>
      </c>
      <c r="E70" s="208">
        <f t="shared" si="1"/>
        <v>57328</v>
      </c>
      <c r="F70" s="209">
        <f t="shared" si="2"/>
        <v>38048</v>
      </c>
      <c r="G70" s="210">
        <f t="shared" si="3"/>
        <v>19280</v>
      </c>
      <c r="H70" s="205">
        <v>0.0</v>
      </c>
      <c r="I70" s="208">
        <f t="shared" si="4"/>
        <v>6235157</v>
      </c>
      <c r="J70" s="212" t="s">
        <v>59</v>
      </c>
      <c r="K70" s="1"/>
    </row>
    <row r="71" ht="18.0" customHeight="1">
      <c r="A71" s="1"/>
      <c r="B71" s="37">
        <v>37.0</v>
      </c>
      <c r="C71" s="37" t="s">
        <v>352</v>
      </c>
      <c r="D71" s="202">
        <f t="shared" si="5"/>
        <v>6235157</v>
      </c>
      <c r="E71" s="202">
        <f t="shared" si="1"/>
        <v>57328</v>
      </c>
      <c r="F71" s="203">
        <f t="shared" si="2"/>
        <v>37931</v>
      </c>
      <c r="G71" s="204">
        <f t="shared" si="3"/>
        <v>19397</v>
      </c>
      <c r="H71" s="205">
        <v>0.0</v>
      </c>
      <c r="I71" s="202">
        <f t="shared" si="4"/>
        <v>6215760</v>
      </c>
      <c r="J71" s="213" t="s">
        <v>59</v>
      </c>
      <c r="K71" s="1"/>
    </row>
    <row r="72" ht="18.0" customHeight="1">
      <c r="A72" s="1"/>
      <c r="B72" s="52">
        <v>38.0</v>
      </c>
      <c r="C72" s="52" t="s">
        <v>353</v>
      </c>
      <c r="D72" s="208">
        <f t="shared" si="5"/>
        <v>6215760</v>
      </c>
      <c r="E72" s="208">
        <f t="shared" si="1"/>
        <v>57328</v>
      </c>
      <c r="F72" s="209">
        <f t="shared" si="2"/>
        <v>37813</v>
      </c>
      <c r="G72" s="210">
        <f t="shared" si="3"/>
        <v>19515</v>
      </c>
      <c r="H72" s="205">
        <v>0.0</v>
      </c>
      <c r="I72" s="208">
        <f t="shared" si="4"/>
        <v>6196245</v>
      </c>
      <c r="J72" s="212" t="s">
        <v>59</v>
      </c>
      <c r="K72" s="1"/>
    </row>
    <row r="73" ht="18.0" customHeight="1">
      <c r="A73" s="1"/>
      <c r="B73" s="37">
        <v>39.0</v>
      </c>
      <c r="C73" s="37" t="s">
        <v>354</v>
      </c>
      <c r="D73" s="202">
        <f t="shared" si="5"/>
        <v>6196245</v>
      </c>
      <c r="E73" s="202">
        <f t="shared" si="1"/>
        <v>57328</v>
      </c>
      <c r="F73" s="203">
        <f t="shared" si="2"/>
        <v>37694</v>
      </c>
      <c r="G73" s="204">
        <f t="shared" si="3"/>
        <v>19634</v>
      </c>
      <c r="H73" s="205">
        <v>0.0</v>
      </c>
      <c r="I73" s="202">
        <f t="shared" si="4"/>
        <v>6176611</v>
      </c>
      <c r="J73" s="213" t="s">
        <v>59</v>
      </c>
      <c r="K73" s="1"/>
    </row>
    <row r="74" ht="18.0" customHeight="1">
      <c r="A74" s="1"/>
      <c r="B74" s="52">
        <v>40.0</v>
      </c>
      <c r="C74" s="52" t="s">
        <v>355</v>
      </c>
      <c r="D74" s="208">
        <f t="shared" si="5"/>
        <v>6176611</v>
      </c>
      <c r="E74" s="208">
        <f t="shared" si="1"/>
        <v>57328</v>
      </c>
      <c r="F74" s="209">
        <f t="shared" si="2"/>
        <v>37574</v>
      </c>
      <c r="G74" s="210">
        <f t="shared" si="3"/>
        <v>19754</v>
      </c>
      <c r="H74" s="205">
        <v>0.0</v>
      </c>
      <c r="I74" s="208">
        <f t="shared" si="4"/>
        <v>6156857</v>
      </c>
      <c r="J74" s="212" t="s">
        <v>59</v>
      </c>
      <c r="K74" s="1"/>
    </row>
    <row r="75" ht="18.0" customHeight="1">
      <c r="A75" s="1"/>
      <c r="B75" s="37">
        <v>41.0</v>
      </c>
      <c r="C75" s="37" t="s">
        <v>356</v>
      </c>
      <c r="D75" s="202">
        <f t="shared" si="5"/>
        <v>6156857</v>
      </c>
      <c r="E75" s="202">
        <f t="shared" si="1"/>
        <v>57328</v>
      </c>
      <c r="F75" s="203">
        <f t="shared" si="2"/>
        <v>37454</v>
      </c>
      <c r="G75" s="204">
        <f t="shared" si="3"/>
        <v>19874</v>
      </c>
      <c r="H75" s="205">
        <v>0.0</v>
      </c>
      <c r="I75" s="202">
        <f t="shared" si="4"/>
        <v>6136983</v>
      </c>
      <c r="J75" s="213" t="s">
        <v>59</v>
      </c>
      <c r="K75" s="1"/>
    </row>
    <row r="76" ht="18.0" customHeight="1">
      <c r="A76" s="1"/>
      <c r="B76" s="52">
        <v>42.0</v>
      </c>
      <c r="C76" s="52" t="s">
        <v>357</v>
      </c>
      <c r="D76" s="208">
        <f t="shared" si="5"/>
        <v>6136983</v>
      </c>
      <c r="E76" s="208">
        <f t="shared" si="1"/>
        <v>57328</v>
      </c>
      <c r="F76" s="209">
        <f t="shared" si="2"/>
        <v>37333</v>
      </c>
      <c r="G76" s="210">
        <f t="shared" si="3"/>
        <v>19995</v>
      </c>
      <c r="H76" s="205">
        <v>0.0</v>
      </c>
      <c r="I76" s="208">
        <f t="shared" si="4"/>
        <v>6116988</v>
      </c>
      <c r="J76" s="212" t="s">
        <v>59</v>
      </c>
      <c r="K76" s="1"/>
    </row>
    <row r="77" ht="18.0" customHeight="1">
      <c r="A77" s="1"/>
      <c r="B77" s="37">
        <v>43.0</v>
      </c>
      <c r="C77" s="37" t="s">
        <v>358</v>
      </c>
      <c r="D77" s="202">
        <f t="shared" si="5"/>
        <v>6116988</v>
      </c>
      <c r="E77" s="202">
        <f t="shared" si="1"/>
        <v>57328</v>
      </c>
      <c r="F77" s="203">
        <f t="shared" si="2"/>
        <v>37212</v>
      </c>
      <c r="G77" s="204">
        <f t="shared" si="3"/>
        <v>20116</v>
      </c>
      <c r="H77" s="205">
        <v>0.0</v>
      </c>
      <c r="I77" s="202">
        <f t="shared" si="4"/>
        <v>6096872</v>
      </c>
      <c r="J77" s="213" t="s">
        <v>59</v>
      </c>
      <c r="K77" s="1"/>
    </row>
    <row r="78" ht="18.0" customHeight="1">
      <c r="A78" s="1"/>
      <c r="B78" s="52">
        <v>44.0</v>
      </c>
      <c r="C78" s="52" t="s">
        <v>359</v>
      </c>
      <c r="D78" s="208">
        <f t="shared" si="5"/>
        <v>6096872</v>
      </c>
      <c r="E78" s="208">
        <f t="shared" si="1"/>
        <v>57328</v>
      </c>
      <c r="F78" s="209">
        <f t="shared" si="2"/>
        <v>37089</v>
      </c>
      <c r="G78" s="210">
        <f t="shared" si="3"/>
        <v>20239</v>
      </c>
      <c r="H78" s="205">
        <v>0.0</v>
      </c>
      <c r="I78" s="208">
        <f t="shared" si="4"/>
        <v>6076633</v>
      </c>
      <c r="J78" s="212" t="s">
        <v>59</v>
      </c>
      <c r="K78" s="1"/>
    </row>
    <row r="79" ht="18.0" customHeight="1">
      <c r="A79" s="1"/>
      <c r="B79" s="37">
        <v>45.0</v>
      </c>
      <c r="C79" s="37" t="s">
        <v>360</v>
      </c>
      <c r="D79" s="202">
        <f t="shared" si="5"/>
        <v>6076633</v>
      </c>
      <c r="E79" s="202">
        <f t="shared" si="1"/>
        <v>57328</v>
      </c>
      <c r="F79" s="203">
        <f t="shared" si="2"/>
        <v>36966</v>
      </c>
      <c r="G79" s="204">
        <f t="shared" si="3"/>
        <v>20362</v>
      </c>
      <c r="H79" s="205">
        <v>0.0</v>
      </c>
      <c r="I79" s="202">
        <f t="shared" si="4"/>
        <v>6056271</v>
      </c>
      <c r="J79" s="213" t="s">
        <v>59</v>
      </c>
      <c r="K79" s="1"/>
    </row>
    <row r="80" ht="18.0" customHeight="1">
      <c r="A80" s="1"/>
      <c r="B80" s="52">
        <v>46.0</v>
      </c>
      <c r="C80" s="52" t="s">
        <v>361</v>
      </c>
      <c r="D80" s="208">
        <f t="shared" si="5"/>
        <v>6056271</v>
      </c>
      <c r="E80" s="208">
        <f t="shared" si="1"/>
        <v>57328</v>
      </c>
      <c r="F80" s="209">
        <f t="shared" si="2"/>
        <v>36842</v>
      </c>
      <c r="G80" s="210">
        <f t="shared" si="3"/>
        <v>20486</v>
      </c>
      <c r="H80" s="205">
        <v>0.0</v>
      </c>
      <c r="I80" s="208">
        <f t="shared" si="4"/>
        <v>6035785</v>
      </c>
      <c r="J80" s="212" t="s">
        <v>59</v>
      </c>
      <c r="K80" s="1"/>
    </row>
    <row r="81" ht="18.0" customHeight="1">
      <c r="A81" s="1"/>
      <c r="B81" s="37">
        <v>47.0</v>
      </c>
      <c r="C81" s="37" t="s">
        <v>362</v>
      </c>
      <c r="D81" s="202">
        <f t="shared" si="5"/>
        <v>6035785</v>
      </c>
      <c r="E81" s="202">
        <f t="shared" si="1"/>
        <v>57328</v>
      </c>
      <c r="F81" s="203">
        <f t="shared" si="2"/>
        <v>36718</v>
      </c>
      <c r="G81" s="204">
        <f t="shared" si="3"/>
        <v>20610</v>
      </c>
      <c r="H81" s="205">
        <v>0.0</v>
      </c>
      <c r="I81" s="202">
        <f t="shared" si="4"/>
        <v>6015175</v>
      </c>
      <c r="J81" s="213" t="s">
        <v>59</v>
      </c>
      <c r="K81" s="1"/>
    </row>
    <row r="82" ht="18.0" customHeight="1">
      <c r="A82" s="1"/>
      <c r="B82" s="52">
        <v>48.0</v>
      </c>
      <c r="C82" s="52" t="s">
        <v>363</v>
      </c>
      <c r="D82" s="208">
        <f t="shared" si="5"/>
        <v>6015175</v>
      </c>
      <c r="E82" s="208">
        <f t="shared" si="1"/>
        <v>57328</v>
      </c>
      <c r="F82" s="209">
        <f t="shared" si="2"/>
        <v>36592</v>
      </c>
      <c r="G82" s="210">
        <f t="shared" si="3"/>
        <v>20736</v>
      </c>
      <c r="H82" s="205">
        <v>0.0</v>
      </c>
      <c r="I82" s="208">
        <f t="shared" si="4"/>
        <v>5994439</v>
      </c>
      <c r="J82" s="212" t="s">
        <v>59</v>
      </c>
      <c r="K82" s="1"/>
    </row>
    <row r="83" ht="18.0" customHeight="1">
      <c r="A83" s="1"/>
      <c r="B83" s="37">
        <v>49.0</v>
      </c>
      <c r="C83" s="37" t="s">
        <v>364</v>
      </c>
      <c r="D83" s="202">
        <f t="shared" si="5"/>
        <v>5994439</v>
      </c>
      <c r="E83" s="202">
        <f t="shared" si="1"/>
        <v>57328</v>
      </c>
      <c r="F83" s="203">
        <f t="shared" si="2"/>
        <v>36466</v>
      </c>
      <c r="G83" s="204">
        <f t="shared" si="3"/>
        <v>20862</v>
      </c>
      <c r="H83" s="205">
        <v>0.0</v>
      </c>
      <c r="I83" s="202">
        <f t="shared" si="4"/>
        <v>5973577</v>
      </c>
      <c r="J83" s="213" t="s">
        <v>59</v>
      </c>
      <c r="K83" s="1"/>
    </row>
    <row r="84" ht="18.0" customHeight="1">
      <c r="A84" s="1"/>
      <c r="B84" s="52">
        <v>50.0</v>
      </c>
      <c r="C84" s="52" t="s">
        <v>365</v>
      </c>
      <c r="D84" s="208">
        <f t="shared" si="5"/>
        <v>5973577</v>
      </c>
      <c r="E84" s="208">
        <f t="shared" si="1"/>
        <v>57328</v>
      </c>
      <c r="F84" s="209">
        <f t="shared" si="2"/>
        <v>36339</v>
      </c>
      <c r="G84" s="210">
        <f t="shared" si="3"/>
        <v>20989</v>
      </c>
      <c r="H84" s="205">
        <v>0.0</v>
      </c>
      <c r="I84" s="208">
        <f t="shared" si="4"/>
        <v>5952588</v>
      </c>
      <c r="J84" s="212" t="s">
        <v>59</v>
      </c>
      <c r="K84" s="1"/>
    </row>
    <row r="85" ht="18.0" customHeight="1">
      <c r="A85" s="1"/>
      <c r="B85" s="37">
        <v>51.0</v>
      </c>
      <c r="C85" s="37" t="s">
        <v>366</v>
      </c>
      <c r="D85" s="202">
        <f t="shared" si="5"/>
        <v>5952588</v>
      </c>
      <c r="E85" s="202">
        <f t="shared" si="1"/>
        <v>57328</v>
      </c>
      <c r="F85" s="203">
        <f t="shared" si="2"/>
        <v>36212</v>
      </c>
      <c r="G85" s="204">
        <f t="shared" si="3"/>
        <v>21116</v>
      </c>
      <c r="H85" s="205">
        <v>0.0</v>
      </c>
      <c r="I85" s="202">
        <f t="shared" si="4"/>
        <v>5931472</v>
      </c>
      <c r="J85" s="213" t="s">
        <v>59</v>
      </c>
      <c r="K85" s="1"/>
    </row>
    <row r="86" ht="18.0" customHeight="1">
      <c r="A86" s="1"/>
      <c r="B86" s="52">
        <v>52.0</v>
      </c>
      <c r="C86" s="52" t="s">
        <v>367</v>
      </c>
      <c r="D86" s="208">
        <f t="shared" si="5"/>
        <v>5931472</v>
      </c>
      <c r="E86" s="208">
        <f t="shared" si="1"/>
        <v>57328</v>
      </c>
      <c r="F86" s="209">
        <f t="shared" si="2"/>
        <v>36083</v>
      </c>
      <c r="G86" s="210">
        <f t="shared" si="3"/>
        <v>21245</v>
      </c>
      <c r="H86" s="205">
        <v>0.0</v>
      </c>
      <c r="I86" s="208">
        <f t="shared" si="4"/>
        <v>5910227</v>
      </c>
      <c r="J86" s="212" t="s">
        <v>59</v>
      </c>
      <c r="K86" s="1"/>
    </row>
    <row r="87" ht="18.0" customHeight="1">
      <c r="A87" s="1"/>
      <c r="B87" s="37">
        <v>53.0</v>
      </c>
      <c r="C87" s="37" t="s">
        <v>368</v>
      </c>
      <c r="D87" s="202">
        <f t="shared" si="5"/>
        <v>5910227</v>
      </c>
      <c r="E87" s="202">
        <f t="shared" si="1"/>
        <v>57328</v>
      </c>
      <c r="F87" s="203">
        <f t="shared" si="2"/>
        <v>35954</v>
      </c>
      <c r="G87" s="204">
        <f t="shared" si="3"/>
        <v>21374</v>
      </c>
      <c r="H87" s="205">
        <v>0.0</v>
      </c>
      <c r="I87" s="202">
        <f t="shared" si="4"/>
        <v>5888853</v>
      </c>
      <c r="J87" s="213" t="s">
        <v>59</v>
      </c>
      <c r="K87" s="1"/>
    </row>
    <row r="88" ht="18.0" customHeight="1">
      <c r="A88" s="1"/>
      <c r="B88" s="52">
        <v>54.0</v>
      </c>
      <c r="C88" s="52" t="s">
        <v>369</v>
      </c>
      <c r="D88" s="208">
        <f t="shared" si="5"/>
        <v>5888853</v>
      </c>
      <c r="E88" s="208">
        <f t="shared" si="1"/>
        <v>57328</v>
      </c>
      <c r="F88" s="209">
        <f t="shared" si="2"/>
        <v>35824</v>
      </c>
      <c r="G88" s="210">
        <f t="shared" si="3"/>
        <v>21504</v>
      </c>
      <c r="H88" s="205">
        <v>0.0</v>
      </c>
      <c r="I88" s="208">
        <f t="shared" si="4"/>
        <v>5867349</v>
      </c>
      <c r="J88" s="212" t="s">
        <v>59</v>
      </c>
      <c r="K88" s="1"/>
    </row>
    <row r="89" ht="18.0" customHeight="1">
      <c r="A89" s="1"/>
      <c r="B89" s="37">
        <v>55.0</v>
      </c>
      <c r="C89" s="37" t="s">
        <v>370</v>
      </c>
      <c r="D89" s="202">
        <f t="shared" si="5"/>
        <v>5867349</v>
      </c>
      <c r="E89" s="202">
        <f t="shared" si="1"/>
        <v>57328</v>
      </c>
      <c r="F89" s="203">
        <f t="shared" si="2"/>
        <v>35693</v>
      </c>
      <c r="G89" s="204">
        <f t="shared" si="3"/>
        <v>21635</v>
      </c>
      <c r="H89" s="205">
        <v>0.0</v>
      </c>
      <c r="I89" s="202">
        <f t="shared" si="4"/>
        <v>5845714</v>
      </c>
      <c r="J89" s="213" t="s">
        <v>59</v>
      </c>
      <c r="K89" s="1"/>
    </row>
    <row r="90" ht="18.0" customHeight="1">
      <c r="A90" s="1"/>
      <c r="B90" s="52">
        <v>56.0</v>
      </c>
      <c r="C90" s="52" t="s">
        <v>371</v>
      </c>
      <c r="D90" s="208">
        <f t="shared" si="5"/>
        <v>5845714</v>
      </c>
      <c r="E90" s="208">
        <f t="shared" si="1"/>
        <v>57328</v>
      </c>
      <c r="F90" s="209">
        <f t="shared" si="2"/>
        <v>35561</v>
      </c>
      <c r="G90" s="210">
        <f t="shared" si="3"/>
        <v>21767</v>
      </c>
      <c r="H90" s="205">
        <v>0.0</v>
      </c>
      <c r="I90" s="208">
        <f t="shared" si="4"/>
        <v>5823947</v>
      </c>
      <c r="J90" s="212" t="s">
        <v>59</v>
      </c>
      <c r="K90" s="1"/>
    </row>
    <row r="91" ht="18.0" customHeight="1">
      <c r="A91" s="1"/>
      <c r="B91" s="37">
        <v>57.0</v>
      </c>
      <c r="C91" s="37" t="s">
        <v>372</v>
      </c>
      <c r="D91" s="202">
        <f t="shared" si="5"/>
        <v>5823947</v>
      </c>
      <c r="E91" s="202">
        <f t="shared" si="1"/>
        <v>57328</v>
      </c>
      <c r="F91" s="203">
        <f t="shared" si="2"/>
        <v>35429</v>
      </c>
      <c r="G91" s="204">
        <f t="shared" si="3"/>
        <v>21899</v>
      </c>
      <c r="H91" s="205">
        <v>0.0</v>
      </c>
      <c r="I91" s="202">
        <f t="shared" si="4"/>
        <v>5802048</v>
      </c>
      <c r="J91" s="213" t="s">
        <v>59</v>
      </c>
      <c r="K91" s="1"/>
    </row>
    <row r="92" ht="18.0" customHeight="1">
      <c r="A92" s="1"/>
      <c r="B92" s="52">
        <v>58.0</v>
      </c>
      <c r="C92" s="52" t="s">
        <v>373</v>
      </c>
      <c r="D92" s="208">
        <f t="shared" si="5"/>
        <v>5802048</v>
      </c>
      <c r="E92" s="208">
        <f t="shared" si="1"/>
        <v>57328</v>
      </c>
      <c r="F92" s="209">
        <f t="shared" si="2"/>
        <v>35296</v>
      </c>
      <c r="G92" s="210">
        <f t="shared" si="3"/>
        <v>22032</v>
      </c>
      <c r="H92" s="205">
        <v>0.0</v>
      </c>
      <c r="I92" s="208">
        <f t="shared" si="4"/>
        <v>5780016</v>
      </c>
      <c r="J92" s="212" t="s">
        <v>59</v>
      </c>
      <c r="K92" s="1"/>
    </row>
    <row r="93" ht="18.0" customHeight="1">
      <c r="A93" s="1"/>
      <c r="B93" s="37">
        <v>59.0</v>
      </c>
      <c r="C93" s="37" t="s">
        <v>374</v>
      </c>
      <c r="D93" s="202">
        <f t="shared" si="5"/>
        <v>5780016</v>
      </c>
      <c r="E93" s="202">
        <f t="shared" si="1"/>
        <v>57328</v>
      </c>
      <c r="F93" s="203">
        <f t="shared" si="2"/>
        <v>35162</v>
      </c>
      <c r="G93" s="204">
        <f t="shared" si="3"/>
        <v>22166</v>
      </c>
      <c r="H93" s="205">
        <v>0.0</v>
      </c>
      <c r="I93" s="202">
        <f t="shared" si="4"/>
        <v>5757850</v>
      </c>
      <c r="J93" s="213" t="s">
        <v>59</v>
      </c>
      <c r="K93" s="1"/>
    </row>
    <row r="94" ht="18.0" customHeight="1">
      <c r="A94" s="1"/>
      <c r="B94" s="52">
        <v>60.0</v>
      </c>
      <c r="C94" s="52" t="s">
        <v>375</v>
      </c>
      <c r="D94" s="208">
        <f t="shared" si="5"/>
        <v>5757850</v>
      </c>
      <c r="E94" s="208">
        <f t="shared" si="1"/>
        <v>57328</v>
      </c>
      <c r="F94" s="209">
        <f t="shared" si="2"/>
        <v>35027</v>
      </c>
      <c r="G94" s="210">
        <f t="shared" si="3"/>
        <v>22301</v>
      </c>
      <c r="H94" s="205">
        <v>0.0</v>
      </c>
      <c r="I94" s="208">
        <f t="shared" si="4"/>
        <v>5735549</v>
      </c>
      <c r="J94" s="212" t="s">
        <v>59</v>
      </c>
      <c r="K94" s="1"/>
    </row>
    <row r="95" ht="18.0" customHeight="1">
      <c r="A95" s="1"/>
      <c r="B95" s="37">
        <v>61.0</v>
      </c>
      <c r="C95" s="37" t="s">
        <v>376</v>
      </c>
      <c r="D95" s="202">
        <f t="shared" si="5"/>
        <v>5735549</v>
      </c>
      <c r="E95" s="202">
        <f t="shared" si="1"/>
        <v>57328</v>
      </c>
      <c r="F95" s="203">
        <f t="shared" si="2"/>
        <v>34891</v>
      </c>
      <c r="G95" s="204">
        <f t="shared" si="3"/>
        <v>22437</v>
      </c>
      <c r="H95" s="205">
        <v>0.0</v>
      </c>
      <c r="I95" s="202">
        <f t="shared" si="4"/>
        <v>5713112</v>
      </c>
      <c r="J95" s="213" t="s">
        <v>59</v>
      </c>
      <c r="K95" s="1"/>
    </row>
    <row r="96" ht="18.0" customHeight="1">
      <c r="A96" s="1"/>
      <c r="B96" s="52">
        <v>62.0</v>
      </c>
      <c r="C96" s="52" t="s">
        <v>377</v>
      </c>
      <c r="D96" s="208">
        <f t="shared" si="5"/>
        <v>5713112</v>
      </c>
      <c r="E96" s="208">
        <f t="shared" si="1"/>
        <v>57328</v>
      </c>
      <c r="F96" s="209">
        <f t="shared" si="2"/>
        <v>34755</v>
      </c>
      <c r="G96" s="210">
        <f t="shared" si="3"/>
        <v>22573</v>
      </c>
      <c r="H96" s="205">
        <v>0.0</v>
      </c>
      <c r="I96" s="208">
        <f t="shared" si="4"/>
        <v>5690539</v>
      </c>
      <c r="J96" s="212" t="s">
        <v>59</v>
      </c>
      <c r="K96" s="1"/>
    </row>
    <row r="97" ht="18.0" customHeight="1">
      <c r="A97" s="1"/>
      <c r="B97" s="37">
        <v>63.0</v>
      </c>
      <c r="C97" s="37" t="s">
        <v>378</v>
      </c>
      <c r="D97" s="202">
        <f t="shared" si="5"/>
        <v>5690539</v>
      </c>
      <c r="E97" s="202">
        <f t="shared" si="1"/>
        <v>57328</v>
      </c>
      <c r="F97" s="203">
        <f t="shared" si="2"/>
        <v>34617</v>
      </c>
      <c r="G97" s="204">
        <f t="shared" si="3"/>
        <v>22711</v>
      </c>
      <c r="H97" s="205">
        <v>0.0</v>
      </c>
      <c r="I97" s="202">
        <f t="shared" si="4"/>
        <v>5667828</v>
      </c>
      <c r="J97" s="213" t="s">
        <v>59</v>
      </c>
      <c r="K97" s="1"/>
    </row>
    <row r="98" ht="18.0" customHeight="1">
      <c r="A98" s="1"/>
      <c r="B98" s="52">
        <v>64.0</v>
      </c>
      <c r="C98" s="52" t="s">
        <v>379</v>
      </c>
      <c r="D98" s="208">
        <f t="shared" si="5"/>
        <v>5667828</v>
      </c>
      <c r="E98" s="208">
        <f t="shared" si="1"/>
        <v>57328</v>
      </c>
      <c r="F98" s="209">
        <f t="shared" si="2"/>
        <v>34479</v>
      </c>
      <c r="G98" s="210">
        <f t="shared" si="3"/>
        <v>22849</v>
      </c>
      <c r="H98" s="205">
        <v>0.0</v>
      </c>
      <c r="I98" s="208">
        <f t="shared" si="4"/>
        <v>5644979</v>
      </c>
      <c r="J98" s="212" t="s">
        <v>59</v>
      </c>
      <c r="K98" s="1"/>
    </row>
    <row r="99" ht="18.0" customHeight="1">
      <c r="A99" s="1"/>
      <c r="B99" s="37">
        <v>65.0</v>
      </c>
      <c r="C99" s="37" t="s">
        <v>380</v>
      </c>
      <c r="D99" s="202">
        <f t="shared" si="5"/>
        <v>5644979</v>
      </c>
      <c r="E99" s="202">
        <f t="shared" si="1"/>
        <v>57328</v>
      </c>
      <c r="F99" s="203">
        <f t="shared" si="2"/>
        <v>34340</v>
      </c>
      <c r="G99" s="204">
        <f t="shared" si="3"/>
        <v>22988</v>
      </c>
      <c r="H99" s="205">
        <v>0.0</v>
      </c>
      <c r="I99" s="202">
        <f t="shared" si="4"/>
        <v>5621991</v>
      </c>
      <c r="J99" s="213" t="s">
        <v>59</v>
      </c>
      <c r="K99" s="1"/>
    </row>
    <row r="100" ht="18.0" customHeight="1">
      <c r="A100" s="1"/>
      <c r="B100" s="52">
        <v>66.0</v>
      </c>
      <c r="C100" s="52" t="s">
        <v>381</v>
      </c>
      <c r="D100" s="208">
        <f t="shared" si="5"/>
        <v>5621991</v>
      </c>
      <c r="E100" s="208">
        <f t="shared" si="1"/>
        <v>57328</v>
      </c>
      <c r="F100" s="209">
        <f t="shared" si="2"/>
        <v>34200</v>
      </c>
      <c r="G100" s="210">
        <f t="shared" si="3"/>
        <v>23128</v>
      </c>
      <c r="H100" s="205">
        <v>0.0</v>
      </c>
      <c r="I100" s="208">
        <f t="shared" si="4"/>
        <v>5598863</v>
      </c>
      <c r="J100" s="212" t="s">
        <v>59</v>
      </c>
      <c r="K100" s="1"/>
    </row>
    <row r="101" ht="18.0" customHeight="1">
      <c r="A101" s="1"/>
      <c r="B101" s="37">
        <v>67.0</v>
      </c>
      <c r="C101" s="37" t="s">
        <v>382</v>
      </c>
      <c r="D101" s="202">
        <f t="shared" si="5"/>
        <v>5598863</v>
      </c>
      <c r="E101" s="202">
        <f t="shared" si="1"/>
        <v>57328</v>
      </c>
      <c r="F101" s="203">
        <f t="shared" si="2"/>
        <v>34060</v>
      </c>
      <c r="G101" s="204">
        <f t="shared" si="3"/>
        <v>23268</v>
      </c>
      <c r="H101" s="205">
        <v>0.0</v>
      </c>
      <c r="I101" s="202">
        <f t="shared" si="4"/>
        <v>5575595</v>
      </c>
      <c r="J101" s="213" t="s">
        <v>59</v>
      </c>
      <c r="K101" s="1"/>
    </row>
    <row r="102" ht="18.0" customHeight="1">
      <c r="A102" s="1"/>
      <c r="B102" s="52">
        <v>68.0</v>
      </c>
      <c r="C102" s="52" t="s">
        <v>383</v>
      </c>
      <c r="D102" s="208">
        <f t="shared" si="5"/>
        <v>5575595</v>
      </c>
      <c r="E102" s="208">
        <f t="shared" si="1"/>
        <v>57328</v>
      </c>
      <c r="F102" s="209">
        <f t="shared" si="2"/>
        <v>33918</v>
      </c>
      <c r="G102" s="210">
        <f t="shared" si="3"/>
        <v>23410</v>
      </c>
      <c r="H102" s="205">
        <v>0.0</v>
      </c>
      <c r="I102" s="208">
        <f t="shared" si="4"/>
        <v>5552185</v>
      </c>
      <c r="J102" s="212" t="s">
        <v>59</v>
      </c>
      <c r="K102" s="1"/>
    </row>
    <row r="103" ht="18.0" customHeight="1">
      <c r="A103" s="1"/>
      <c r="B103" s="37">
        <v>69.0</v>
      </c>
      <c r="C103" s="37" t="s">
        <v>384</v>
      </c>
      <c r="D103" s="202">
        <f t="shared" si="5"/>
        <v>5552185</v>
      </c>
      <c r="E103" s="202">
        <f t="shared" si="1"/>
        <v>57328</v>
      </c>
      <c r="F103" s="203">
        <f t="shared" si="2"/>
        <v>33776</v>
      </c>
      <c r="G103" s="204">
        <f t="shared" si="3"/>
        <v>23552</v>
      </c>
      <c r="H103" s="205">
        <v>0.0</v>
      </c>
      <c r="I103" s="202">
        <f t="shared" si="4"/>
        <v>5528633</v>
      </c>
      <c r="J103" s="213" t="s">
        <v>59</v>
      </c>
      <c r="K103" s="1"/>
    </row>
    <row r="104" ht="18.0" customHeight="1">
      <c r="A104" s="1"/>
      <c r="B104" s="52">
        <v>70.0</v>
      </c>
      <c r="C104" s="52" t="s">
        <v>385</v>
      </c>
      <c r="D104" s="208">
        <f t="shared" si="5"/>
        <v>5528633</v>
      </c>
      <c r="E104" s="208">
        <f t="shared" si="1"/>
        <v>57328</v>
      </c>
      <c r="F104" s="209">
        <f t="shared" si="2"/>
        <v>33633</v>
      </c>
      <c r="G104" s="210">
        <f t="shared" si="3"/>
        <v>23695</v>
      </c>
      <c r="H104" s="205">
        <v>0.0</v>
      </c>
      <c r="I104" s="208">
        <f t="shared" si="4"/>
        <v>5504938</v>
      </c>
      <c r="J104" s="212" t="s">
        <v>59</v>
      </c>
      <c r="K104" s="1"/>
    </row>
    <row r="105" ht="18.0" customHeight="1">
      <c r="A105" s="1"/>
      <c r="B105" s="37">
        <v>71.0</v>
      </c>
      <c r="C105" s="37" t="s">
        <v>386</v>
      </c>
      <c r="D105" s="202">
        <f t="shared" si="5"/>
        <v>5504938</v>
      </c>
      <c r="E105" s="202">
        <f t="shared" si="1"/>
        <v>57328</v>
      </c>
      <c r="F105" s="203">
        <f t="shared" si="2"/>
        <v>33488</v>
      </c>
      <c r="G105" s="204">
        <f t="shared" si="3"/>
        <v>23840</v>
      </c>
      <c r="H105" s="205">
        <v>0.0</v>
      </c>
      <c r="I105" s="202">
        <f t="shared" si="4"/>
        <v>5481098</v>
      </c>
      <c r="J105" s="213" t="s">
        <v>59</v>
      </c>
      <c r="K105" s="1"/>
    </row>
    <row r="106" ht="18.0" customHeight="1">
      <c r="A106" s="1"/>
      <c r="B106" s="52">
        <v>72.0</v>
      </c>
      <c r="C106" s="52" t="s">
        <v>387</v>
      </c>
      <c r="D106" s="208">
        <f t="shared" si="5"/>
        <v>5481098</v>
      </c>
      <c r="E106" s="208">
        <f t="shared" si="1"/>
        <v>57328</v>
      </c>
      <c r="F106" s="209">
        <f t="shared" si="2"/>
        <v>33343</v>
      </c>
      <c r="G106" s="210">
        <f t="shared" si="3"/>
        <v>23985</v>
      </c>
      <c r="H106" s="205">
        <v>0.0</v>
      </c>
      <c r="I106" s="208">
        <f t="shared" si="4"/>
        <v>5457113</v>
      </c>
      <c r="J106" s="212" t="s">
        <v>59</v>
      </c>
      <c r="K106" s="1"/>
    </row>
    <row r="107" ht="18.0" customHeight="1">
      <c r="A107" s="1"/>
      <c r="B107" s="37">
        <v>73.0</v>
      </c>
      <c r="C107" s="37" t="s">
        <v>388</v>
      </c>
      <c r="D107" s="202">
        <f t="shared" si="5"/>
        <v>5457113</v>
      </c>
      <c r="E107" s="202">
        <f t="shared" si="1"/>
        <v>57328</v>
      </c>
      <c r="F107" s="203">
        <f t="shared" si="2"/>
        <v>33197</v>
      </c>
      <c r="G107" s="204">
        <f t="shared" si="3"/>
        <v>24131</v>
      </c>
      <c r="H107" s="205">
        <v>0.0</v>
      </c>
      <c r="I107" s="202">
        <f t="shared" si="4"/>
        <v>5432982</v>
      </c>
      <c r="J107" s="213" t="s">
        <v>59</v>
      </c>
      <c r="K107" s="1"/>
    </row>
    <row r="108" ht="18.0" customHeight="1">
      <c r="A108" s="1"/>
      <c r="B108" s="52">
        <v>74.0</v>
      </c>
      <c r="C108" s="52" t="s">
        <v>389</v>
      </c>
      <c r="D108" s="208">
        <f t="shared" si="5"/>
        <v>5432982</v>
      </c>
      <c r="E108" s="208">
        <f t="shared" si="1"/>
        <v>57328</v>
      </c>
      <c r="F108" s="209">
        <f t="shared" si="2"/>
        <v>33051</v>
      </c>
      <c r="G108" s="210">
        <f t="shared" si="3"/>
        <v>24277</v>
      </c>
      <c r="H108" s="205">
        <v>0.0</v>
      </c>
      <c r="I108" s="208">
        <f t="shared" si="4"/>
        <v>5408705</v>
      </c>
      <c r="J108" s="212" t="s">
        <v>59</v>
      </c>
      <c r="K108" s="1"/>
    </row>
    <row r="109" ht="18.0" customHeight="1">
      <c r="A109" s="1"/>
      <c r="B109" s="37">
        <v>75.0</v>
      </c>
      <c r="C109" s="37" t="s">
        <v>390</v>
      </c>
      <c r="D109" s="202">
        <f t="shared" si="5"/>
        <v>5408705</v>
      </c>
      <c r="E109" s="202">
        <f t="shared" si="1"/>
        <v>57328</v>
      </c>
      <c r="F109" s="203">
        <f t="shared" si="2"/>
        <v>32903</v>
      </c>
      <c r="G109" s="204">
        <f t="shared" si="3"/>
        <v>24425</v>
      </c>
      <c r="H109" s="205">
        <v>0.0</v>
      </c>
      <c r="I109" s="202">
        <f t="shared" si="4"/>
        <v>5384280</v>
      </c>
      <c r="J109" s="213" t="s">
        <v>59</v>
      </c>
      <c r="K109" s="1"/>
    </row>
    <row r="110" ht="18.0" customHeight="1">
      <c r="A110" s="1"/>
      <c r="B110" s="52">
        <v>76.0</v>
      </c>
      <c r="C110" s="52" t="s">
        <v>391</v>
      </c>
      <c r="D110" s="208">
        <f t="shared" si="5"/>
        <v>5384280</v>
      </c>
      <c r="E110" s="208">
        <f t="shared" si="1"/>
        <v>57328</v>
      </c>
      <c r="F110" s="209">
        <f t="shared" si="2"/>
        <v>32754</v>
      </c>
      <c r="G110" s="210">
        <f t="shared" si="3"/>
        <v>24574</v>
      </c>
      <c r="H110" s="205">
        <v>0.0</v>
      </c>
      <c r="I110" s="208">
        <f t="shared" si="4"/>
        <v>5359706</v>
      </c>
      <c r="J110" s="212" t="s">
        <v>59</v>
      </c>
      <c r="K110" s="1"/>
    </row>
    <row r="111" ht="18.0" customHeight="1">
      <c r="A111" s="1"/>
      <c r="B111" s="37">
        <v>77.0</v>
      </c>
      <c r="C111" s="37" t="s">
        <v>392</v>
      </c>
      <c r="D111" s="202">
        <f t="shared" si="5"/>
        <v>5359706</v>
      </c>
      <c r="E111" s="202">
        <f t="shared" si="1"/>
        <v>57328</v>
      </c>
      <c r="F111" s="203">
        <f t="shared" si="2"/>
        <v>32605</v>
      </c>
      <c r="G111" s="204">
        <f t="shared" si="3"/>
        <v>24723</v>
      </c>
      <c r="H111" s="205">
        <v>0.0</v>
      </c>
      <c r="I111" s="202">
        <f t="shared" si="4"/>
        <v>5334983</v>
      </c>
      <c r="J111" s="213" t="s">
        <v>59</v>
      </c>
      <c r="K111" s="1"/>
    </row>
    <row r="112" ht="18.0" customHeight="1">
      <c r="A112" s="1"/>
      <c r="B112" s="52">
        <v>78.0</v>
      </c>
      <c r="C112" s="52" t="s">
        <v>393</v>
      </c>
      <c r="D112" s="208">
        <f t="shared" si="5"/>
        <v>5334983</v>
      </c>
      <c r="E112" s="208">
        <f t="shared" si="1"/>
        <v>57328</v>
      </c>
      <c r="F112" s="209">
        <f t="shared" si="2"/>
        <v>32454</v>
      </c>
      <c r="G112" s="210">
        <f t="shared" si="3"/>
        <v>24874</v>
      </c>
      <c r="H112" s="205">
        <v>0.0</v>
      </c>
      <c r="I112" s="208">
        <f t="shared" si="4"/>
        <v>5310109</v>
      </c>
      <c r="J112" s="212" t="s">
        <v>59</v>
      </c>
      <c r="K112" s="1"/>
    </row>
    <row r="113" ht="18.0" customHeight="1">
      <c r="A113" s="1"/>
      <c r="B113" s="37">
        <v>79.0</v>
      </c>
      <c r="C113" s="37" t="s">
        <v>394</v>
      </c>
      <c r="D113" s="202">
        <f t="shared" si="5"/>
        <v>5310109</v>
      </c>
      <c r="E113" s="202">
        <f t="shared" si="1"/>
        <v>57328</v>
      </c>
      <c r="F113" s="203">
        <f t="shared" si="2"/>
        <v>32303</v>
      </c>
      <c r="G113" s="204">
        <f t="shared" si="3"/>
        <v>25025</v>
      </c>
      <c r="H113" s="205">
        <v>0.0</v>
      </c>
      <c r="I113" s="202">
        <f t="shared" si="4"/>
        <v>5285084</v>
      </c>
      <c r="J113" s="213" t="s">
        <v>59</v>
      </c>
      <c r="K113" s="1"/>
    </row>
    <row r="114" ht="18.0" customHeight="1">
      <c r="A114" s="1"/>
      <c r="B114" s="52">
        <v>80.0</v>
      </c>
      <c r="C114" s="52" t="s">
        <v>395</v>
      </c>
      <c r="D114" s="208">
        <f t="shared" si="5"/>
        <v>5285084</v>
      </c>
      <c r="E114" s="208">
        <f t="shared" si="1"/>
        <v>57328</v>
      </c>
      <c r="F114" s="209">
        <f t="shared" si="2"/>
        <v>32151</v>
      </c>
      <c r="G114" s="210">
        <f t="shared" si="3"/>
        <v>25177</v>
      </c>
      <c r="H114" s="205">
        <v>0.0</v>
      </c>
      <c r="I114" s="208">
        <f t="shared" si="4"/>
        <v>5259907</v>
      </c>
      <c r="J114" s="212" t="s">
        <v>59</v>
      </c>
      <c r="K114" s="1"/>
    </row>
    <row r="115" ht="18.0" customHeight="1">
      <c r="A115" s="1"/>
      <c r="B115" s="37">
        <v>81.0</v>
      </c>
      <c r="C115" s="37" t="s">
        <v>396</v>
      </c>
      <c r="D115" s="202">
        <f t="shared" si="5"/>
        <v>5259907</v>
      </c>
      <c r="E115" s="202">
        <f t="shared" si="1"/>
        <v>57328</v>
      </c>
      <c r="F115" s="203">
        <f t="shared" si="2"/>
        <v>31998</v>
      </c>
      <c r="G115" s="204">
        <f t="shared" si="3"/>
        <v>25330</v>
      </c>
      <c r="H115" s="205">
        <v>0.0</v>
      </c>
      <c r="I115" s="202">
        <f t="shared" si="4"/>
        <v>5234577</v>
      </c>
      <c r="J115" s="213" t="s">
        <v>59</v>
      </c>
      <c r="K115" s="1"/>
    </row>
    <row r="116" ht="18.0" customHeight="1">
      <c r="A116" s="1"/>
      <c r="B116" s="52">
        <v>82.0</v>
      </c>
      <c r="C116" s="52" t="s">
        <v>397</v>
      </c>
      <c r="D116" s="208">
        <f t="shared" si="5"/>
        <v>5234577</v>
      </c>
      <c r="E116" s="208">
        <f t="shared" si="1"/>
        <v>57328</v>
      </c>
      <c r="F116" s="209">
        <f t="shared" si="2"/>
        <v>31844</v>
      </c>
      <c r="G116" s="210">
        <f t="shared" si="3"/>
        <v>25484</v>
      </c>
      <c r="H116" s="205">
        <v>0.0</v>
      </c>
      <c r="I116" s="208">
        <f t="shared" si="4"/>
        <v>5209093</v>
      </c>
      <c r="J116" s="212" t="s">
        <v>59</v>
      </c>
      <c r="K116" s="1"/>
    </row>
    <row r="117" ht="18.0" customHeight="1">
      <c r="A117" s="1"/>
      <c r="B117" s="37">
        <v>83.0</v>
      </c>
      <c r="C117" s="37" t="s">
        <v>398</v>
      </c>
      <c r="D117" s="202">
        <f t="shared" si="5"/>
        <v>5209093</v>
      </c>
      <c r="E117" s="202">
        <f t="shared" si="1"/>
        <v>57328</v>
      </c>
      <c r="F117" s="203">
        <f t="shared" si="2"/>
        <v>31689</v>
      </c>
      <c r="G117" s="204">
        <f t="shared" si="3"/>
        <v>25639</v>
      </c>
      <c r="H117" s="205">
        <v>0.0</v>
      </c>
      <c r="I117" s="202">
        <f t="shared" si="4"/>
        <v>5183454</v>
      </c>
      <c r="J117" s="213" t="s">
        <v>59</v>
      </c>
      <c r="K117" s="1"/>
    </row>
    <row r="118" ht="18.0" customHeight="1">
      <c r="A118" s="1"/>
      <c r="B118" s="52">
        <v>84.0</v>
      </c>
      <c r="C118" s="52" t="s">
        <v>399</v>
      </c>
      <c r="D118" s="208">
        <f t="shared" si="5"/>
        <v>5183454</v>
      </c>
      <c r="E118" s="208">
        <f t="shared" si="1"/>
        <v>57328</v>
      </c>
      <c r="F118" s="209">
        <f t="shared" si="2"/>
        <v>31533</v>
      </c>
      <c r="G118" s="210">
        <f t="shared" si="3"/>
        <v>25795</v>
      </c>
      <c r="H118" s="205">
        <v>0.0</v>
      </c>
      <c r="I118" s="208">
        <f t="shared" si="4"/>
        <v>5157659</v>
      </c>
      <c r="J118" s="212" t="s">
        <v>59</v>
      </c>
      <c r="K118" s="1"/>
    </row>
    <row r="119" ht="18.0" customHeight="1">
      <c r="A119" s="1"/>
      <c r="B119" s="37">
        <v>85.0</v>
      </c>
      <c r="C119" s="37" t="s">
        <v>400</v>
      </c>
      <c r="D119" s="202">
        <f t="shared" si="5"/>
        <v>5157659</v>
      </c>
      <c r="E119" s="202">
        <f t="shared" si="1"/>
        <v>57328</v>
      </c>
      <c r="F119" s="203">
        <f t="shared" si="2"/>
        <v>31376</v>
      </c>
      <c r="G119" s="204">
        <f t="shared" si="3"/>
        <v>25952</v>
      </c>
      <c r="H119" s="205">
        <v>0.0</v>
      </c>
      <c r="I119" s="202">
        <f t="shared" si="4"/>
        <v>5131707</v>
      </c>
      <c r="J119" s="213" t="s">
        <v>59</v>
      </c>
      <c r="K119" s="1"/>
    </row>
    <row r="120" ht="18.0" customHeight="1">
      <c r="A120" s="1"/>
      <c r="B120" s="52">
        <v>86.0</v>
      </c>
      <c r="C120" s="52" t="s">
        <v>401</v>
      </c>
      <c r="D120" s="208">
        <f t="shared" si="5"/>
        <v>5131707</v>
      </c>
      <c r="E120" s="208">
        <f t="shared" si="1"/>
        <v>57328</v>
      </c>
      <c r="F120" s="209">
        <f t="shared" si="2"/>
        <v>31218</v>
      </c>
      <c r="G120" s="210">
        <f t="shared" si="3"/>
        <v>26110</v>
      </c>
      <c r="H120" s="205">
        <v>0.0</v>
      </c>
      <c r="I120" s="208">
        <f t="shared" si="4"/>
        <v>5105597</v>
      </c>
      <c r="J120" s="212" t="s">
        <v>59</v>
      </c>
      <c r="K120" s="1"/>
    </row>
    <row r="121" ht="18.0" customHeight="1">
      <c r="A121" s="1"/>
      <c r="B121" s="37">
        <v>87.0</v>
      </c>
      <c r="C121" s="37" t="s">
        <v>402</v>
      </c>
      <c r="D121" s="202">
        <f t="shared" si="5"/>
        <v>5105597</v>
      </c>
      <c r="E121" s="202">
        <f t="shared" si="1"/>
        <v>57328</v>
      </c>
      <c r="F121" s="203">
        <f t="shared" si="2"/>
        <v>31059</v>
      </c>
      <c r="G121" s="204">
        <f t="shared" si="3"/>
        <v>26269</v>
      </c>
      <c r="H121" s="205">
        <v>0.0</v>
      </c>
      <c r="I121" s="202">
        <f t="shared" si="4"/>
        <v>5079328</v>
      </c>
      <c r="J121" s="213" t="s">
        <v>59</v>
      </c>
      <c r="K121" s="1"/>
    </row>
    <row r="122" ht="18.0" customHeight="1">
      <c r="A122" s="1"/>
      <c r="B122" s="52">
        <v>88.0</v>
      </c>
      <c r="C122" s="52" t="s">
        <v>403</v>
      </c>
      <c r="D122" s="208">
        <f t="shared" si="5"/>
        <v>5079328</v>
      </c>
      <c r="E122" s="208">
        <f t="shared" si="1"/>
        <v>57328</v>
      </c>
      <c r="F122" s="209">
        <f t="shared" si="2"/>
        <v>30899</v>
      </c>
      <c r="G122" s="210">
        <f t="shared" si="3"/>
        <v>26429</v>
      </c>
      <c r="H122" s="205">
        <v>0.0</v>
      </c>
      <c r="I122" s="208">
        <f t="shared" si="4"/>
        <v>5052899</v>
      </c>
      <c r="J122" s="212" t="s">
        <v>59</v>
      </c>
      <c r="K122" s="1"/>
    </row>
    <row r="123" ht="18.0" customHeight="1">
      <c r="A123" s="1"/>
      <c r="B123" s="37">
        <v>89.0</v>
      </c>
      <c r="C123" s="37" t="s">
        <v>404</v>
      </c>
      <c r="D123" s="202">
        <f t="shared" si="5"/>
        <v>5052899</v>
      </c>
      <c r="E123" s="202">
        <f t="shared" si="1"/>
        <v>57328</v>
      </c>
      <c r="F123" s="203">
        <f t="shared" si="2"/>
        <v>30738</v>
      </c>
      <c r="G123" s="204">
        <f t="shared" si="3"/>
        <v>26590</v>
      </c>
      <c r="H123" s="205">
        <v>0.0</v>
      </c>
      <c r="I123" s="202">
        <f t="shared" si="4"/>
        <v>5026309</v>
      </c>
      <c r="J123" s="213" t="s">
        <v>59</v>
      </c>
      <c r="K123" s="1"/>
    </row>
    <row r="124" ht="18.0" customHeight="1">
      <c r="A124" s="1"/>
      <c r="B124" s="52">
        <v>90.0</v>
      </c>
      <c r="C124" s="52" t="s">
        <v>405</v>
      </c>
      <c r="D124" s="208">
        <f t="shared" si="5"/>
        <v>5026309</v>
      </c>
      <c r="E124" s="208">
        <f t="shared" si="1"/>
        <v>57328</v>
      </c>
      <c r="F124" s="209">
        <f t="shared" si="2"/>
        <v>30577</v>
      </c>
      <c r="G124" s="210">
        <f t="shared" si="3"/>
        <v>26751</v>
      </c>
      <c r="H124" s="205">
        <v>0.0</v>
      </c>
      <c r="I124" s="208">
        <f t="shared" si="4"/>
        <v>4999558</v>
      </c>
      <c r="J124" s="212" t="s">
        <v>59</v>
      </c>
      <c r="K124" s="1"/>
    </row>
    <row r="125" ht="18.0" customHeight="1">
      <c r="A125" s="1"/>
      <c r="B125" s="37">
        <v>91.0</v>
      </c>
      <c r="C125" s="37" t="s">
        <v>406</v>
      </c>
      <c r="D125" s="202">
        <f t="shared" si="5"/>
        <v>4999558</v>
      </c>
      <c r="E125" s="202">
        <f t="shared" si="1"/>
        <v>57328</v>
      </c>
      <c r="F125" s="203">
        <f t="shared" si="2"/>
        <v>30414</v>
      </c>
      <c r="G125" s="204">
        <f t="shared" si="3"/>
        <v>26914</v>
      </c>
      <c r="H125" s="205">
        <v>0.0</v>
      </c>
      <c r="I125" s="202">
        <f t="shared" si="4"/>
        <v>4972644</v>
      </c>
      <c r="J125" s="213" t="s">
        <v>59</v>
      </c>
      <c r="K125" s="1"/>
    </row>
    <row r="126" ht="18.0" customHeight="1">
      <c r="A126" s="1"/>
      <c r="B126" s="52">
        <v>92.0</v>
      </c>
      <c r="C126" s="52" t="s">
        <v>407</v>
      </c>
      <c r="D126" s="208">
        <f t="shared" si="5"/>
        <v>4972644</v>
      </c>
      <c r="E126" s="208">
        <f t="shared" si="1"/>
        <v>57328</v>
      </c>
      <c r="F126" s="209">
        <f t="shared" si="2"/>
        <v>30250</v>
      </c>
      <c r="G126" s="210">
        <f t="shared" si="3"/>
        <v>27078</v>
      </c>
      <c r="H126" s="205">
        <v>0.0</v>
      </c>
      <c r="I126" s="208">
        <f t="shared" si="4"/>
        <v>4945566</v>
      </c>
      <c r="J126" s="212" t="s">
        <v>59</v>
      </c>
      <c r="K126" s="1"/>
    </row>
    <row r="127" ht="18.0" customHeight="1">
      <c r="A127" s="1"/>
      <c r="B127" s="37">
        <v>93.0</v>
      </c>
      <c r="C127" s="37" t="s">
        <v>408</v>
      </c>
      <c r="D127" s="202">
        <f t="shared" si="5"/>
        <v>4945566</v>
      </c>
      <c r="E127" s="202">
        <f t="shared" si="1"/>
        <v>57328</v>
      </c>
      <c r="F127" s="203">
        <f t="shared" si="2"/>
        <v>30086</v>
      </c>
      <c r="G127" s="204">
        <f t="shared" si="3"/>
        <v>27242</v>
      </c>
      <c r="H127" s="205">
        <v>0.0</v>
      </c>
      <c r="I127" s="202">
        <f t="shared" si="4"/>
        <v>4918324</v>
      </c>
      <c r="J127" s="213" t="s">
        <v>59</v>
      </c>
      <c r="K127" s="1"/>
    </row>
    <row r="128" ht="18.0" customHeight="1">
      <c r="A128" s="1"/>
      <c r="B128" s="52">
        <v>94.0</v>
      </c>
      <c r="C128" s="52" t="s">
        <v>409</v>
      </c>
      <c r="D128" s="208">
        <f t="shared" si="5"/>
        <v>4918324</v>
      </c>
      <c r="E128" s="208">
        <f t="shared" si="1"/>
        <v>57328</v>
      </c>
      <c r="F128" s="209">
        <f t="shared" si="2"/>
        <v>29920</v>
      </c>
      <c r="G128" s="210">
        <f t="shared" si="3"/>
        <v>27408</v>
      </c>
      <c r="H128" s="205">
        <v>0.0</v>
      </c>
      <c r="I128" s="208">
        <f t="shared" si="4"/>
        <v>4890916</v>
      </c>
      <c r="J128" s="212" t="s">
        <v>59</v>
      </c>
      <c r="K128" s="1"/>
    </row>
    <row r="129" ht="18.0" customHeight="1">
      <c r="A129" s="1"/>
      <c r="B129" s="37">
        <v>95.0</v>
      </c>
      <c r="C129" s="37" t="s">
        <v>410</v>
      </c>
      <c r="D129" s="202">
        <f t="shared" si="5"/>
        <v>4890916</v>
      </c>
      <c r="E129" s="202">
        <f t="shared" si="1"/>
        <v>57328</v>
      </c>
      <c r="F129" s="203">
        <f t="shared" si="2"/>
        <v>29753</v>
      </c>
      <c r="G129" s="204">
        <f t="shared" si="3"/>
        <v>27575</v>
      </c>
      <c r="H129" s="205">
        <v>0.0</v>
      </c>
      <c r="I129" s="202">
        <f t="shared" si="4"/>
        <v>4863341</v>
      </c>
      <c r="J129" s="213" t="s">
        <v>59</v>
      </c>
      <c r="K129" s="1"/>
    </row>
    <row r="130" ht="18.0" customHeight="1">
      <c r="A130" s="1"/>
      <c r="B130" s="52">
        <v>96.0</v>
      </c>
      <c r="C130" s="52" t="s">
        <v>411</v>
      </c>
      <c r="D130" s="208">
        <f t="shared" si="5"/>
        <v>4863341</v>
      </c>
      <c r="E130" s="208">
        <f t="shared" si="1"/>
        <v>57328</v>
      </c>
      <c r="F130" s="209">
        <f t="shared" si="2"/>
        <v>29585</v>
      </c>
      <c r="G130" s="210">
        <f t="shared" si="3"/>
        <v>27743</v>
      </c>
      <c r="H130" s="205">
        <v>0.0</v>
      </c>
      <c r="I130" s="208">
        <f t="shared" si="4"/>
        <v>4835598</v>
      </c>
      <c r="J130" s="212" t="s">
        <v>59</v>
      </c>
      <c r="K130" s="1"/>
    </row>
    <row r="131" ht="18.0" customHeight="1">
      <c r="A131" s="1"/>
      <c r="B131" s="37">
        <v>97.0</v>
      </c>
      <c r="C131" s="37" t="s">
        <v>412</v>
      </c>
      <c r="D131" s="202">
        <f t="shared" si="5"/>
        <v>4835598</v>
      </c>
      <c r="E131" s="202">
        <f t="shared" si="1"/>
        <v>57328</v>
      </c>
      <c r="F131" s="203">
        <f t="shared" si="2"/>
        <v>29417</v>
      </c>
      <c r="G131" s="204">
        <f t="shared" si="3"/>
        <v>27911</v>
      </c>
      <c r="H131" s="205">
        <v>0.0</v>
      </c>
      <c r="I131" s="202">
        <f t="shared" si="4"/>
        <v>4807687</v>
      </c>
      <c r="J131" s="213" t="s">
        <v>59</v>
      </c>
      <c r="K131" s="1"/>
    </row>
    <row r="132" ht="18.0" customHeight="1">
      <c r="A132" s="1"/>
      <c r="B132" s="52">
        <v>98.0</v>
      </c>
      <c r="C132" s="52" t="s">
        <v>413</v>
      </c>
      <c r="D132" s="208">
        <f t="shared" si="5"/>
        <v>4807687</v>
      </c>
      <c r="E132" s="208">
        <f t="shared" si="1"/>
        <v>57328</v>
      </c>
      <c r="F132" s="209">
        <f t="shared" si="2"/>
        <v>29247</v>
      </c>
      <c r="G132" s="210">
        <f t="shared" si="3"/>
        <v>28081</v>
      </c>
      <c r="H132" s="205">
        <v>0.0</v>
      </c>
      <c r="I132" s="208">
        <f t="shared" si="4"/>
        <v>4779606</v>
      </c>
      <c r="J132" s="212" t="s">
        <v>59</v>
      </c>
      <c r="K132" s="1"/>
    </row>
    <row r="133" ht="18.0" customHeight="1">
      <c r="A133" s="1"/>
      <c r="B133" s="37">
        <v>99.0</v>
      </c>
      <c r="C133" s="37" t="s">
        <v>414</v>
      </c>
      <c r="D133" s="202">
        <f t="shared" si="5"/>
        <v>4779606</v>
      </c>
      <c r="E133" s="202">
        <f t="shared" si="1"/>
        <v>57328</v>
      </c>
      <c r="F133" s="203">
        <f t="shared" si="2"/>
        <v>29076</v>
      </c>
      <c r="G133" s="204">
        <f t="shared" si="3"/>
        <v>28252</v>
      </c>
      <c r="H133" s="205">
        <v>0.0</v>
      </c>
      <c r="I133" s="202">
        <f t="shared" si="4"/>
        <v>4751354</v>
      </c>
      <c r="J133" s="213" t="s">
        <v>59</v>
      </c>
      <c r="K133" s="1"/>
    </row>
    <row r="134" ht="18.0" customHeight="1">
      <c r="A134" s="1"/>
      <c r="B134" s="52">
        <v>100.0</v>
      </c>
      <c r="C134" s="52" t="s">
        <v>415</v>
      </c>
      <c r="D134" s="208">
        <f t="shared" si="5"/>
        <v>4751354</v>
      </c>
      <c r="E134" s="208">
        <f t="shared" si="1"/>
        <v>57328</v>
      </c>
      <c r="F134" s="209">
        <f t="shared" si="2"/>
        <v>28904</v>
      </c>
      <c r="G134" s="210">
        <f t="shared" si="3"/>
        <v>28424</v>
      </c>
      <c r="H134" s="205">
        <v>0.0</v>
      </c>
      <c r="I134" s="208">
        <f t="shared" si="4"/>
        <v>4722930</v>
      </c>
      <c r="J134" s="212" t="s">
        <v>59</v>
      </c>
      <c r="K134" s="1"/>
    </row>
    <row r="135" ht="18.0" customHeight="1">
      <c r="A135" s="1"/>
      <c r="B135" s="37">
        <v>101.0</v>
      </c>
      <c r="C135" s="37" t="s">
        <v>416</v>
      </c>
      <c r="D135" s="202">
        <f t="shared" si="5"/>
        <v>4722930</v>
      </c>
      <c r="E135" s="202">
        <f t="shared" si="1"/>
        <v>57328</v>
      </c>
      <c r="F135" s="203">
        <f t="shared" si="2"/>
        <v>28731</v>
      </c>
      <c r="G135" s="204">
        <f t="shared" si="3"/>
        <v>28597</v>
      </c>
      <c r="H135" s="205">
        <v>0.0</v>
      </c>
      <c r="I135" s="202">
        <f t="shared" si="4"/>
        <v>4694333</v>
      </c>
      <c r="J135" s="213" t="s">
        <v>59</v>
      </c>
      <c r="K135" s="1"/>
    </row>
    <row r="136" ht="18.0" customHeight="1">
      <c r="A136" s="1"/>
      <c r="B136" s="52">
        <v>102.0</v>
      </c>
      <c r="C136" s="52" t="s">
        <v>417</v>
      </c>
      <c r="D136" s="208">
        <f t="shared" si="5"/>
        <v>4694333</v>
      </c>
      <c r="E136" s="208">
        <f t="shared" si="1"/>
        <v>57328</v>
      </c>
      <c r="F136" s="209">
        <f t="shared" si="2"/>
        <v>28557</v>
      </c>
      <c r="G136" s="210">
        <f t="shared" si="3"/>
        <v>28771</v>
      </c>
      <c r="H136" s="205">
        <v>0.0</v>
      </c>
      <c r="I136" s="208">
        <f t="shared" si="4"/>
        <v>4665562</v>
      </c>
      <c r="J136" s="212" t="s">
        <v>59</v>
      </c>
      <c r="K136" s="1"/>
    </row>
    <row r="137" ht="18.0" customHeight="1">
      <c r="A137" s="1"/>
      <c r="B137" s="37">
        <v>103.0</v>
      </c>
      <c r="C137" s="37" t="s">
        <v>418</v>
      </c>
      <c r="D137" s="202">
        <f t="shared" si="5"/>
        <v>4665562</v>
      </c>
      <c r="E137" s="202">
        <f t="shared" si="1"/>
        <v>57328</v>
      </c>
      <c r="F137" s="203">
        <f t="shared" si="2"/>
        <v>28382</v>
      </c>
      <c r="G137" s="204">
        <f t="shared" si="3"/>
        <v>28946</v>
      </c>
      <c r="H137" s="205">
        <v>0.0</v>
      </c>
      <c r="I137" s="202">
        <f t="shared" si="4"/>
        <v>4636616</v>
      </c>
      <c r="J137" s="213" t="s">
        <v>59</v>
      </c>
      <c r="K137" s="1"/>
    </row>
    <row r="138" ht="18.0" customHeight="1">
      <c r="A138" s="1"/>
      <c r="B138" s="52">
        <v>104.0</v>
      </c>
      <c r="C138" s="52" t="s">
        <v>419</v>
      </c>
      <c r="D138" s="208">
        <f t="shared" si="5"/>
        <v>4636616</v>
      </c>
      <c r="E138" s="208">
        <f t="shared" si="1"/>
        <v>57328</v>
      </c>
      <c r="F138" s="209">
        <f t="shared" si="2"/>
        <v>28206</v>
      </c>
      <c r="G138" s="210">
        <f t="shared" si="3"/>
        <v>29122</v>
      </c>
      <c r="H138" s="205">
        <v>0.0</v>
      </c>
      <c r="I138" s="208">
        <f t="shared" si="4"/>
        <v>4607494</v>
      </c>
      <c r="J138" s="212" t="s">
        <v>59</v>
      </c>
      <c r="K138" s="1"/>
    </row>
    <row r="139" ht="18.0" customHeight="1">
      <c r="A139" s="1"/>
      <c r="B139" s="37">
        <v>105.0</v>
      </c>
      <c r="C139" s="37" t="s">
        <v>420</v>
      </c>
      <c r="D139" s="202">
        <f t="shared" si="5"/>
        <v>4607494</v>
      </c>
      <c r="E139" s="202">
        <f t="shared" si="1"/>
        <v>57328</v>
      </c>
      <c r="F139" s="203">
        <f t="shared" si="2"/>
        <v>28029</v>
      </c>
      <c r="G139" s="204">
        <f t="shared" si="3"/>
        <v>29299</v>
      </c>
      <c r="H139" s="205">
        <v>0.0</v>
      </c>
      <c r="I139" s="202">
        <f t="shared" si="4"/>
        <v>4578195</v>
      </c>
      <c r="J139" s="213" t="s">
        <v>59</v>
      </c>
      <c r="K139" s="1"/>
    </row>
    <row r="140" ht="18.0" customHeight="1">
      <c r="A140" s="1"/>
      <c r="B140" s="52">
        <v>106.0</v>
      </c>
      <c r="C140" s="52" t="s">
        <v>421</v>
      </c>
      <c r="D140" s="208">
        <f t="shared" si="5"/>
        <v>4578195</v>
      </c>
      <c r="E140" s="208">
        <f t="shared" si="1"/>
        <v>57328</v>
      </c>
      <c r="F140" s="209">
        <f t="shared" si="2"/>
        <v>27851</v>
      </c>
      <c r="G140" s="210">
        <f t="shared" si="3"/>
        <v>29477</v>
      </c>
      <c r="H140" s="205">
        <v>0.0</v>
      </c>
      <c r="I140" s="208">
        <f t="shared" si="4"/>
        <v>4548718</v>
      </c>
      <c r="J140" s="212" t="s">
        <v>59</v>
      </c>
      <c r="K140" s="1"/>
    </row>
    <row r="141" ht="18.0" customHeight="1">
      <c r="A141" s="1"/>
      <c r="B141" s="37">
        <v>107.0</v>
      </c>
      <c r="C141" s="37" t="s">
        <v>422</v>
      </c>
      <c r="D141" s="202">
        <f t="shared" si="5"/>
        <v>4548718</v>
      </c>
      <c r="E141" s="202">
        <f t="shared" si="1"/>
        <v>57328</v>
      </c>
      <c r="F141" s="203">
        <f t="shared" si="2"/>
        <v>27671</v>
      </c>
      <c r="G141" s="204">
        <f t="shared" si="3"/>
        <v>29657</v>
      </c>
      <c r="H141" s="205">
        <v>0.0</v>
      </c>
      <c r="I141" s="202">
        <f t="shared" si="4"/>
        <v>4519061</v>
      </c>
      <c r="J141" s="213" t="s">
        <v>59</v>
      </c>
      <c r="K141" s="1"/>
    </row>
    <row r="142" ht="18.0" customHeight="1">
      <c r="A142" s="1"/>
      <c r="B142" s="52">
        <v>108.0</v>
      </c>
      <c r="C142" s="52" t="s">
        <v>423</v>
      </c>
      <c r="D142" s="208">
        <f t="shared" si="5"/>
        <v>4519061</v>
      </c>
      <c r="E142" s="208">
        <f t="shared" si="1"/>
        <v>57328</v>
      </c>
      <c r="F142" s="209">
        <f t="shared" si="2"/>
        <v>27491</v>
      </c>
      <c r="G142" s="210">
        <f t="shared" si="3"/>
        <v>29837</v>
      </c>
      <c r="H142" s="205">
        <v>0.0</v>
      </c>
      <c r="I142" s="208">
        <f t="shared" si="4"/>
        <v>4489224</v>
      </c>
      <c r="J142" s="212" t="s">
        <v>59</v>
      </c>
      <c r="K142" s="1"/>
    </row>
    <row r="143" ht="18.0" customHeight="1">
      <c r="A143" s="1"/>
      <c r="B143" s="37">
        <v>109.0</v>
      </c>
      <c r="C143" s="37" t="s">
        <v>424</v>
      </c>
      <c r="D143" s="202">
        <f t="shared" si="5"/>
        <v>4489224</v>
      </c>
      <c r="E143" s="202">
        <f t="shared" si="1"/>
        <v>57328</v>
      </c>
      <c r="F143" s="203">
        <f t="shared" si="2"/>
        <v>27309</v>
      </c>
      <c r="G143" s="204">
        <f t="shared" si="3"/>
        <v>30019</v>
      </c>
      <c r="H143" s="205">
        <v>0.0</v>
      </c>
      <c r="I143" s="202">
        <f t="shared" si="4"/>
        <v>4459205</v>
      </c>
      <c r="J143" s="213" t="s">
        <v>59</v>
      </c>
      <c r="K143" s="1"/>
    </row>
    <row r="144" ht="18.0" customHeight="1">
      <c r="A144" s="1"/>
      <c r="B144" s="52">
        <v>110.0</v>
      </c>
      <c r="C144" s="52" t="s">
        <v>425</v>
      </c>
      <c r="D144" s="208">
        <f t="shared" si="5"/>
        <v>4459205</v>
      </c>
      <c r="E144" s="208">
        <f t="shared" si="1"/>
        <v>57328</v>
      </c>
      <c r="F144" s="209">
        <f t="shared" si="2"/>
        <v>27127</v>
      </c>
      <c r="G144" s="210">
        <f t="shared" si="3"/>
        <v>30201</v>
      </c>
      <c r="H144" s="205">
        <v>0.0</v>
      </c>
      <c r="I144" s="208">
        <f t="shared" si="4"/>
        <v>4429004</v>
      </c>
      <c r="J144" s="212" t="s">
        <v>59</v>
      </c>
      <c r="K144" s="1"/>
    </row>
    <row r="145" ht="18.0" customHeight="1">
      <c r="A145" s="1"/>
      <c r="B145" s="37">
        <v>111.0</v>
      </c>
      <c r="C145" s="37" t="s">
        <v>426</v>
      </c>
      <c r="D145" s="202">
        <f t="shared" si="5"/>
        <v>4429004</v>
      </c>
      <c r="E145" s="202">
        <f t="shared" si="1"/>
        <v>57328</v>
      </c>
      <c r="F145" s="203">
        <f t="shared" si="2"/>
        <v>26943</v>
      </c>
      <c r="G145" s="204">
        <f t="shared" si="3"/>
        <v>30385</v>
      </c>
      <c r="H145" s="205">
        <v>0.0</v>
      </c>
      <c r="I145" s="202">
        <f t="shared" si="4"/>
        <v>4398619</v>
      </c>
      <c r="J145" s="213" t="s">
        <v>59</v>
      </c>
      <c r="K145" s="1"/>
    </row>
    <row r="146" ht="18.0" customHeight="1">
      <c r="A146" s="1"/>
      <c r="B146" s="52">
        <v>112.0</v>
      </c>
      <c r="C146" s="52" t="s">
        <v>427</v>
      </c>
      <c r="D146" s="208">
        <f t="shared" si="5"/>
        <v>4398619</v>
      </c>
      <c r="E146" s="208">
        <f t="shared" si="1"/>
        <v>57328</v>
      </c>
      <c r="F146" s="209">
        <f t="shared" si="2"/>
        <v>26758</v>
      </c>
      <c r="G146" s="210">
        <f t="shared" si="3"/>
        <v>30570</v>
      </c>
      <c r="H146" s="205">
        <v>0.0</v>
      </c>
      <c r="I146" s="208">
        <f t="shared" si="4"/>
        <v>4368049</v>
      </c>
      <c r="J146" s="212" t="s">
        <v>59</v>
      </c>
      <c r="K146" s="1"/>
    </row>
    <row r="147" ht="18.0" customHeight="1">
      <c r="A147" s="1"/>
      <c r="B147" s="37">
        <v>113.0</v>
      </c>
      <c r="C147" s="37" t="s">
        <v>428</v>
      </c>
      <c r="D147" s="202">
        <f t="shared" si="5"/>
        <v>4368049</v>
      </c>
      <c r="E147" s="202">
        <f t="shared" si="1"/>
        <v>57328</v>
      </c>
      <c r="F147" s="203">
        <f t="shared" si="2"/>
        <v>26572</v>
      </c>
      <c r="G147" s="204">
        <f t="shared" si="3"/>
        <v>30756</v>
      </c>
      <c r="H147" s="205">
        <v>0.0</v>
      </c>
      <c r="I147" s="202">
        <f t="shared" si="4"/>
        <v>4337293</v>
      </c>
      <c r="J147" s="213" t="s">
        <v>59</v>
      </c>
      <c r="K147" s="1"/>
    </row>
    <row r="148" ht="18.0" customHeight="1">
      <c r="A148" s="1"/>
      <c r="B148" s="52">
        <v>114.0</v>
      </c>
      <c r="C148" s="52" t="s">
        <v>429</v>
      </c>
      <c r="D148" s="208">
        <f t="shared" si="5"/>
        <v>4337293</v>
      </c>
      <c r="E148" s="208">
        <f t="shared" si="1"/>
        <v>57328</v>
      </c>
      <c r="F148" s="209">
        <f t="shared" si="2"/>
        <v>26385</v>
      </c>
      <c r="G148" s="210">
        <f t="shared" si="3"/>
        <v>30943</v>
      </c>
      <c r="H148" s="205">
        <v>0.0</v>
      </c>
      <c r="I148" s="208">
        <f t="shared" si="4"/>
        <v>4306350</v>
      </c>
      <c r="J148" s="212" t="s">
        <v>59</v>
      </c>
      <c r="K148" s="1"/>
    </row>
    <row r="149" ht="18.0" customHeight="1">
      <c r="A149" s="1"/>
      <c r="B149" s="37">
        <v>115.0</v>
      </c>
      <c r="C149" s="37" t="s">
        <v>430</v>
      </c>
      <c r="D149" s="202">
        <f t="shared" si="5"/>
        <v>4306350</v>
      </c>
      <c r="E149" s="202">
        <f t="shared" si="1"/>
        <v>57328</v>
      </c>
      <c r="F149" s="203">
        <f t="shared" si="2"/>
        <v>26197</v>
      </c>
      <c r="G149" s="204">
        <f t="shared" si="3"/>
        <v>31131</v>
      </c>
      <c r="H149" s="205">
        <v>0.0</v>
      </c>
      <c r="I149" s="202">
        <f t="shared" si="4"/>
        <v>4275219</v>
      </c>
      <c r="J149" s="213" t="s">
        <v>59</v>
      </c>
      <c r="K149" s="1"/>
    </row>
    <row r="150" ht="18.0" customHeight="1">
      <c r="A150" s="1"/>
      <c r="B150" s="52">
        <v>116.0</v>
      </c>
      <c r="C150" s="52" t="s">
        <v>431</v>
      </c>
      <c r="D150" s="208">
        <f t="shared" si="5"/>
        <v>4275219</v>
      </c>
      <c r="E150" s="208">
        <f t="shared" si="1"/>
        <v>57328</v>
      </c>
      <c r="F150" s="209">
        <f t="shared" si="2"/>
        <v>26008</v>
      </c>
      <c r="G150" s="210">
        <f t="shared" si="3"/>
        <v>31320</v>
      </c>
      <c r="H150" s="205">
        <v>0.0</v>
      </c>
      <c r="I150" s="208">
        <f t="shared" si="4"/>
        <v>4243899</v>
      </c>
      <c r="J150" s="212" t="s">
        <v>59</v>
      </c>
      <c r="K150" s="1"/>
    </row>
    <row r="151" ht="18.0" customHeight="1">
      <c r="A151" s="1"/>
      <c r="B151" s="37">
        <v>117.0</v>
      </c>
      <c r="C151" s="37" t="s">
        <v>432</v>
      </c>
      <c r="D151" s="202">
        <f t="shared" si="5"/>
        <v>4243899</v>
      </c>
      <c r="E151" s="202">
        <f t="shared" si="1"/>
        <v>57328</v>
      </c>
      <c r="F151" s="203">
        <f t="shared" si="2"/>
        <v>25817</v>
      </c>
      <c r="G151" s="204">
        <f t="shared" si="3"/>
        <v>31511</v>
      </c>
      <c r="H151" s="205">
        <v>0.0</v>
      </c>
      <c r="I151" s="202">
        <f t="shared" si="4"/>
        <v>4212388</v>
      </c>
      <c r="J151" s="213" t="s">
        <v>59</v>
      </c>
      <c r="K151" s="1"/>
    </row>
    <row r="152" ht="18.0" customHeight="1">
      <c r="A152" s="1"/>
      <c r="B152" s="52">
        <v>118.0</v>
      </c>
      <c r="C152" s="52" t="s">
        <v>433</v>
      </c>
      <c r="D152" s="208">
        <f t="shared" si="5"/>
        <v>4212388</v>
      </c>
      <c r="E152" s="208">
        <f t="shared" si="1"/>
        <v>57328</v>
      </c>
      <c r="F152" s="209">
        <f t="shared" si="2"/>
        <v>25625</v>
      </c>
      <c r="G152" s="210">
        <f t="shared" si="3"/>
        <v>31703</v>
      </c>
      <c r="H152" s="205">
        <v>0.0</v>
      </c>
      <c r="I152" s="208">
        <f t="shared" si="4"/>
        <v>4180685</v>
      </c>
      <c r="J152" s="212" t="s">
        <v>59</v>
      </c>
      <c r="K152" s="1"/>
    </row>
    <row r="153" ht="18.0" customHeight="1">
      <c r="A153" s="1"/>
      <c r="B153" s="37">
        <v>119.0</v>
      </c>
      <c r="C153" s="37" t="s">
        <v>434</v>
      </c>
      <c r="D153" s="202">
        <f t="shared" si="5"/>
        <v>4180685</v>
      </c>
      <c r="E153" s="202">
        <f t="shared" si="1"/>
        <v>57328</v>
      </c>
      <c r="F153" s="203">
        <f t="shared" si="2"/>
        <v>25433</v>
      </c>
      <c r="G153" s="204">
        <f t="shared" si="3"/>
        <v>31895</v>
      </c>
      <c r="H153" s="205">
        <v>0.0</v>
      </c>
      <c r="I153" s="202">
        <f t="shared" si="4"/>
        <v>4148790</v>
      </c>
      <c r="J153" s="213" t="s">
        <v>59</v>
      </c>
      <c r="K153" s="1"/>
    </row>
    <row r="154" ht="18.0" customHeight="1">
      <c r="A154" s="1"/>
      <c r="B154" s="52">
        <v>120.0</v>
      </c>
      <c r="C154" s="52" t="s">
        <v>435</v>
      </c>
      <c r="D154" s="208">
        <f t="shared" si="5"/>
        <v>4148790</v>
      </c>
      <c r="E154" s="208">
        <f t="shared" si="1"/>
        <v>57328</v>
      </c>
      <c r="F154" s="209">
        <f t="shared" si="2"/>
        <v>25238</v>
      </c>
      <c r="G154" s="210">
        <f t="shared" si="3"/>
        <v>32090</v>
      </c>
      <c r="H154" s="205">
        <v>0.0</v>
      </c>
      <c r="I154" s="208">
        <f t="shared" si="4"/>
        <v>4116700</v>
      </c>
      <c r="J154" s="212" t="s">
        <v>59</v>
      </c>
      <c r="K154" s="1"/>
    </row>
    <row r="155" ht="18.0" customHeight="1">
      <c r="A155" s="1"/>
      <c r="B155" s="37">
        <v>121.0</v>
      </c>
      <c r="C155" s="37" t="s">
        <v>436</v>
      </c>
      <c r="D155" s="202">
        <f t="shared" si="5"/>
        <v>4116700</v>
      </c>
      <c r="E155" s="202">
        <f t="shared" si="1"/>
        <v>57328</v>
      </c>
      <c r="F155" s="203">
        <f t="shared" si="2"/>
        <v>25043</v>
      </c>
      <c r="G155" s="204">
        <f t="shared" si="3"/>
        <v>32285</v>
      </c>
      <c r="H155" s="205">
        <v>0.0</v>
      </c>
      <c r="I155" s="202">
        <f t="shared" si="4"/>
        <v>4084415</v>
      </c>
      <c r="J155" s="213" t="s">
        <v>59</v>
      </c>
      <c r="K155" s="1"/>
    </row>
    <row r="156" ht="18.0" customHeight="1">
      <c r="A156" s="1"/>
      <c r="B156" s="52">
        <v>122.0</v>
      </c>
      <c r="C156" s="52" t="s">
        <v>437</v>
      </c>
      <c r="D156" s="208">
        <f t="shared" si="5"/>
        <v>4084415</v>
      </c>
      <c r="E156" s="208">
        <f t="shared" si="1"/>
        <v>57328</v>
      </c>
      <c r="F156" s="209">
        <f t="shared" si="2"/>
        <v>24847</v>
      </c>
      <c r="G156" s="210">
        <f t="shared" si="3"/>
        <v>32481</v>
      </c>
      <c r="H156" s="205">
        <v>0.0</v>
      </c>
      <c r="I156" s="208">
        <f t="shared" si="4"/>
        <v>4051934</v>
      </c>
      <c r="J156" s="212" t="s">
        <v>59</v>
      </c>
      <c r="K156" s="1"/>
    </row>
    <row r="157" ht="18.0" customHeight="1">
      <c r="A157" s="1"/>
      <c r="B157" s="37">
        <v>123.0</v>
      </c>
      <c r="C157" s="37" t="s">
        <v>438</v>
      </c>
      <c r="D157" s="202">
        <f t="shared" si="5"/>
        <v>4051934</v>
      </c>
      <c r="E157" s="202">
        <f t="shared" si="1"/>
        <v>57328</v>
      </c>
      <c r="F157" s="203">
        <f t="shared" si="2"/>
        <v>24649</v>
      </c>
      <c r="G157" s="204">
        <f t="shared" si="3"/>
        <v>32679</v>
      </c>
      <c r="H157" s="205">
        <v>0.0</v>
      </c>
      <c r="I157" s="202">
        <f t="shared" si="4"/>
        <v>4019255</v>
      </c>
      <c r="J157" s="213" t="s">
        <v>59</v>
      </c>
      <c r="K157" s="1"/>
    </row>
    <row r="158" ht="18.0" customHeight="1">
      <c r="A158" s="1"/>
      <c r="B158" s="52">
        <v>124.0</v>
      </c>
      <c r="C158" s="52" t="s">
        <v>439</v>
      </c>
      <c r="D158" s="208">
        <f t="shared" si="5"/>
        <v>4019255</v>
      </c>
      <c r="E158" s="208">
        <f t="shared" si="1"/>
        <v>57328</v>
      </c>
      <c r="F158" s="209">
        <f t="shared" si="2"/>
        <v>24450</v>
      </c>
      <c r="G158" s="210">
        <f t="shared" si="3"/>
        <v>32878</v>
      </c>
      <c r="H158" s="205">
        <v>0.0</v>
      </c>
      <c r="I158" s="208">
        <f t="shared" si="4"/>
        <v>3986377</v>
      </c>
      <c r="J158" s="212" t="s">
        <v>59</v>
      </c>
      <c r="K158" s="1"/>
    </row>
    <row r="159" ht="18.0" customHeight="1">
      <c r="A159" s="1"/>
      <c r="B159" s="37">
        <v>125.0</v>
      </c>
      <c r="C159" s="37" t="s">
        <v>440</v>
      </c>
      <c r="D159" s="202">
        <f t="shared" si="5"/>
        <v>3986377</v>
      </c>
      <c r="E159" s="202">
        <f t="shared" si="1"/>
        <v>57328</v>
      </c>
      <c r="F159" s="203">
        <f t="shared" si="2"/>
        <v>24250</v>
      </c>
      <c r="G159" s="204">
        <f t="shared" si="3"/>
        <v>33078</v>
      </c>
      <c r="H159" s="205">
        <v>0.0</v>
      </c>
      <c r="I159" s="202">
        <f t="shared" si="4"/>
        <v>3953299</v>
      </c>
      <c r="J159" s="213" t="s">
        <v>59</v>
      </c>
      <c r="K159" s="1"/>
    </row>
    <row r="160" ht="18.0" customHeight="1">
      <c r="A160" s="1"/>
      <c r="B160" s="52">
        <v>126.0</v>
      </c>
      <c r="C160" s="52" t="s">
        <v>441</v>
      </c>
      <c r="D160" s="208">
        <f t="shared" si="5"/>
        <v>3953299</v>
      </c>
      <c r="E160" s="208">
        <f t="shared" si="1"/>
        <v>57328</v>
      </c>
      <c r="F160" s="209">
        <f t="shared" si="2"/>
        <v>24049</v>
      </c>
      <c r="G160" s="210">
        <f t="shared" si="3"/>
        <v>33279</v>
      </c>
      <c r="H160" s="205">
        <v>0.0</v>
      </c>
      <c r="I160" s="208">
        <f t="shared" si="4"/>
        <v>3920020</v>
      </c>
      <c r="J160" s="212" t="s">
        <v>59</v>
      </c>
      <c r="K160" s="1"/>
    </row>
    <row r="161" ht="18.0" customHeight="1">
      <c r="A161" s="1"/>
      <c r="B161" s="37">
        <v>127.0</v>
      </c>
      <c r="C161" s="37" t="s">
        <v>442</v>
      </c>
      <c r="D161" s="202">
        <f t="shared" si="5"/>
        <v>3920020</v>
      </c>
      <c r="E161" s="202">
        <f t="shared" si="1"/>
        <v>57328</v>
      </c>
      <c r="F161" s="203">
        <f t="shared" si="2"/>
        <v>23847</v>
      </c>
      <c r="G161" s="204">
        <f t="shared" si="3"/>
        <v>33481</v>
      </c>
      <c r="H161" s="205">
        <v>0.0</v>
      </c>
      <c r="I161" s="202">
        <f t="shared" si="4"/>
        <v>3886539</v>
      </c>
      <c r="J161" s="213" t="s">
        <v>59</v>
      </c>
      <c r="K161" s="1"/>
    </row>
    <row r="162" ht="18.0" customHeight="1">
      <c r="A162" s="1"/>
      <c r="B162" s="52">
        <v>128.0</v>
      </c>
      <c r="C162" s="52" t="s">
        <v>443</v>
      </c>
      <c r="D162" s="208">
        <f t="shared" si="5"/>
        <v>3886539</v>
      </c>
      <c r="E162" s="208">
        <f t="shared" si="1"/>
        <v>57328</v>
      </c>
      <c r="F162" s="209">
        <f t="shared" si="2"/>
        <v>23643</v>
      </c>
      <c r="G162" s="210">
        <f t="shared" si="3"/>
        <v>33685</v>
      </c>
      <c r="H162" s="205">
        <v>0.0</v>
      </c>
      <c r="I162" s="208">
        <f t="shared" si="4"/>
        <v>3852854</v>
      </c>
      <c r="J162" s="212" t="s">
        <v>59</v>
      </c>
      <c r="K162" s="1"/>
    </row>
    <row r="163" ht="18.0" customHeight="1">
      <c r="A163" s="1"/>
      <c r="B163" s="37">
        <v>129.0</v>
      </c>
      <c r="C163" s="37" t="s">
        <v>444</v>
      </c>
      <c r="D163" s="202">
        <f t="shared" si="5"/>
        <v>3852854</v>
      </c>
      <c r="E163" s="202">
        <f t="shared" si="1"/>
        <v>57328</v>
      </c>
      <c r="F163" s="203">
        <f t="shared" si="2"/>
        <v>23438</v>
      </c>
      <c r="G163" s="204">
        <f t="shared" si="3"/>
        <v>33890</v>
      </c>
      <c r="H163" s="205">
        <v>0.0</v>
      </c>
      <c r="I163" s="202">
        <f t="shared" si="4"/>
        <v>3818964</v>
      </c>
      <c r="J163" s="213" t="s">
        <v>59</v>
      </c>
      <c r="K163" s="1"/>
    </row>
    <row r="164" ht="18.0" customHeight="1">
      <c r="A164" s="1"/>
      <c r="B164" s="52">
        <v>130.0</v>
      </c>
      <c r="C164" s="52" t="s">
        <v>445</v>
      </c>
      <c r="D164" s="208">
        <f t="shared" si="5"/>
        <v>3818964</v>
      </c>
      <c r="E164" s="208">
        <f t="shared" si="1"/>
        <v>57328</v>
      </c>
      <c r="F164" s="209">
        <f t="shared" si="2"/>
        <v>23232</v>
      </c>
      <c r="G164" s="210">
        <f t="shared" si="3"/>
        <v>34096</v>
      </c>
      <c r="H164" s="205">
        <v>0.0</v>
      </c>
      <c r="I164" s="208">
        <f t="shared" si="4"/>
        <v>3784868</v>
      </c>
      <c r="J164" s="212" t="s">
        <v>59</v>
      </c>
      <c r="K164" s="1"/>
    </row>
    <row r="165" ht="18.0" customHeight="1">
      <c r="A165" s="1"/>
      <c r="B165" s="37">
        <v>131.0</v>
      </c>
      <c r="C165" s="37" t="s">
        <v>446</v>
      </c>
      <c r="D165" s="202">
        <f t="shared" si="5"/>
        <v>3784868</v>
      </c>
      <c r="E165" s="202">
        <f t="shared" si="1"/>
        <v>57328</v>
      </c>
      <c r="F165" s="203">
        <f t="shared" si="2"/>
        <v>23025</v>
      </c>
      <c r="G165" s="204">
        <f t="shared" si="3"/>
        <v>34303</v>
      </c>
      <c r="H165" s="205">
        <v>0.0</v>
      </c>
      <c r="I165" s="202">
        <f t="shared" si="4"/>
        <v>3750565</v>
      </c>
      <c r="J165" s="213" t="s">
        <v>59</v>
      </c>
      <c r="K165" s="1"/>
    </row>
    <row r="166" ht="18.0" customHeight="1">
      <c r="A166" s="1"/>
      <c r="B166" s="52">
        <v>132.0</v>
      </c>
      <c r="C166" s="52" t="s">
        <v>447</v>
      </c>
      <c r="D166" s="208">
        <f t="shared" si="5"/>
        <v>3750565</v>
      </c>
      <c r="E166" s="208">
        <f t="shared" si="1"/>
        <v>57328</v>
      </c>
      <c r="F166" s="209">
        <f t="shared" si="2"/>
        <v>22816</v>
      </c>
      <c r="G166" s="210">
        <f t="shared" si="3"/>
        <v>34512</v>
      </c>
      <c r="H166" s="205">
        <v>0.0</v>
      </c>
      <c r="I166" s="208">
        <f t="shared" si="4"/>
        <v>3716053</v>
      </c>
      <c r="J166" s="212" t="s">
        <v>59</v>
      </c>
      <c r="K166" s="1"/>
    </row>
    <row r="167" ht="18.0" customHeight="1">
      <c r="A167" s="1"/>
      <c r="B167" s="37">
        <v>133.0</v>
      </c>
      <c r="C167" s="37" t="s">
        <v>448</v>
      </c>
      <c r="D167" s="202">
        <f t="shared" si="5"/>
        <v>3716053</v>
      </c>
      <c r="E167" s="202">
        <f t="shared" si="1"/>
        <v>57328</v>
      </c>
      <c r="F167" s="203">
        <f t="shared" si="2"/>
        <v>22606</v>
      </c>
      <c r="G167" s="204">
        <f t="shared" si="3"/>
        <v>34722</v>
      </c>
      <c r="H167" s="205">
        <v>0.0</v>
      </c>
      <c r="I167" s="202">
        <f t="shared" si="4"/>
        <v>3681331</v>
      </c>
      <c r="J167" s="213" t="s">
        <v>59</v>
      </c>
      <c r="K167" s="1"/>
    </row>
    <row r="168" ht="18.0" customHeight="1">
      <c r="A168" s="1"/>
      <c r="B168" s="52">
        <v>134.0</v>
      </c>
      <c r="C168" s="52" t="s">
        <v>449</v>
      </c>
      <c r="D168" s="208">
        <f t="shared" si="5"/>
        <v>3681331</v>
      </c>
      <c r="E168" s="208">
        <f t="shared" si="1"/>
        <v>57328</v>
      </c>
      <c r="F168" s="209">
        <f t="shared" si="2"/>
        <v>22395</v>
      </c>
      <c r="G168" s="210">
        <f t="shared" si="3"/>
        <v>34933</v>
      </c>
      <c r="H168" s="205">
        <v>0.0</v>
      </c>
      <c r="I168" s="208">
        <f t="shared" si="4"/>
        <v>3646398</v>
      </c>
      <c r="J168" s="212" t="s">
        <v>59</v>
      </c>
      <c r="K168" s="1"/>
    </row>
    <row r="169" ht="18.0" customHeight="1">
      <c r="A169" s="1"/>
      <c r="B169" s="37">
        <v>135.0</v>
      </c>
      <c r="C169" s="37" t="s">
        <v>450</v>
      </c>
      <c r="D169" s="202">
        <f t="shared" si="5"/>
        <v>3646398</v>
      </c>
      <c r="E169" s="202">
        <f t="shared" si="1"/>
        <v>57328</v>
      </c>
      <c r="F169" s="203">
        <f t="shared" si="2"/>
        <v>22182</v>
      </c>
      <c r="G169" s="204">
        <f t="shared" si="3"/>
        <v>35146</v>
      </c>
      <c r="H169" s="205">
        <v>0.0</v>
      </c>
      <c r="I169" s="202">
        <f t="shared" si="4"/>
        <v>3611252</v>
      </c>
      <c r="J169" s="213" t="s">
        <v>59</v>
      </c>
      <c r="K169" s="1"/>
    </row>
    <row r="170" ht="18.0" customHeight="1">
      <c r="A170" s="1"/>
      <c r="B170" s="52">
        <v>136.0</v>
      </c>
      <c r="C170" s="52" t="s">
        <v>451</v>
      </c>
      <c r="D170" s="208">
        <f t="shared" si="5"/>
        <v>3611252</v>
      </c>
      <c r="E170" s="208">
        <f t="shared" si="1"/>
        <v>57328</v>
      </c>
      <c r="F170" s="209">
        <f t="shared" si="2"/>
        <v>21968</v>
      </c>
      <c r="G170" s="210">
        <f t="shared" si="3"/>
        <v>35360</v>
      </c>
      <c r="H170" s="205">
        <v>0.0</v>
      </c>
      <c r="I170" s="208">
        <f t="shared" si="4"/>
        <v>3575892</v>
      </c>
      <c r="J170" s="212" t="s">
        <v>59</v>
      </c>
      <c r="K170" s="1"/>
    </row>
    <row r="171" ht="18.0" customHeight="1">
      <c r="A171" s="1"/>
      <c r="B171" s="37">
        <v>137.0</v>
      </c>
      <c r="C171" s="37" t="s">
        <v>452</v>
      </c>
      <c r="D171" s="202">
        <f t="shared" si="5"/>
        <v>3575892</v>
      </c>
      <c r="E171" s="202">
        <f t="shared" si="1"/>
        <v>57328</v>
      </c>
      <c r="F171" s="203">
        <f t="shared" si="2"/>
        <v>21753</v>
      </c>
      <c r="G171" s="204">
        <f t="shared" si="3"/>
        <v>35575</v>
      </c>
      <c r="H171" s="205">
        <v>0.0</v>
      </c>
      <c r="I171" s="202">
        <f t="shared" si="4"/>
        <v>3540317</v>
      </c>
      <c r="J171" s="213" t="s">
        <v>59</v>
      </c>
      <c r="K171" s="1"/>
    </row>
    <row r="172" ht="18.0" customHeight="1">
      <c r="A172" s="1"/>
      <c r="B172" s="52">
        <v>138.0</v>
      </c>
      <c r="C172" s="52" t="s">
        <v>453</v>
      </c>
      <c r="D172" s="208">
        <f t="shared" si="5"/>
        <v>3540317</v>
      </c>
      <c r="E172" s="208">
        <f t="shared" si="1"/>
        <v>57328</v>
      </c>
      <c r="F172" s="209">
        <f t="shared" si="2"/>
        <v>21537</v>
      </c>
      <c r="G172" s="210">
        <f t="shared" si="3"/>
        <v>35791</v>
      </c>
      <c r="H172" s="205">
        <v>0.0</v>
      </c>
      <c r="I172" s="208">
        <f t="shared" si="4"/>
        <v>3504526</v>
      </c>
      <c r="J172" s="212" t="s">
        <v>59</v>
      </c>
      <c r="K172" s="1"/>
    </row>
    <row r="173" ht="18.0" customHeight="1">
      <c r="A173" s="1"/>
      <c r="B173" s="37">
        <v>139.0</v>
      </c>
      <c r="C173" s="37" t="s">
        <v>454</v>
      </c>
      <c r="D173" s="202">
        <f t="shared" si="5"/>
        <v>3504526</v>
      </c>
      <c r="E173" s="202">
        <f t="shared" si="1"/>
        <v>57328</v>
      </c>
      <c r="F173" s="203">
        <f t="shared" si="2"/>
        <v>21319</v>
      </c>
      <c r="G173" s="204">
        <f t="shared" si="3"/>
        <v>36009</v>
      </c>
      <c r="H173" s="205">
        <v>0.0</v>
      </c>
      <c r="I173" s="202">
        <f t="shared" si="4"/>
        <v>3468517</v>
      </c>
      <c r="J173" s="213" t="s">
        <v>59</v>
      </c>
      <c r="K173" s="1"/>
    </row>
    <row r="174" ht="18.0" customHeight="1">
      <c r="A174" s="1"/>
      <c r="B174" s="52">
        <v>140.0</v>
      </c>
      <c r="C174" s="52" t="s">
        <v>455</v>
      </c>
      <c r="D174" s="208">
        <f t="shared" si="5"/>
        <v>3468517</v>
      </c>
      <c r="E174" s="208">
        <f t="shared" si="1"/>
        <v>57328</v>
      </c>
      <c r="F174" s="209">
        <f t="shared" si="2"/>
        <v>21100</v>
      </c>
      <c r="G174" s="210">
        <f t="shared" si="3"/>
        <v>36228</v>
      </c>
      <c r="H174" s="205">
        <v>0.0</v>
      </c>
      <c r="I174" s="208">
        <f t="shared" si="4"/>
        <v>3432289</v>
      </c>
      <c r="J174" s="212" t="s">
        <v>59</v>
      </c>
      <c r="K174" s="1"/>
    </row>
    <row r="175" ht="18.0" customHeight="1">
      <c r="A175" s="1"/>
      <c r="B175" s="37">
        <v>141.0</v>
      </c>
      <c r="C175" s="37" t="s">
        <v>456</v>
      </c>
      <c r="D175" s="202">
        <f t="shared" si="5"/>
        <v>3432289</v>
      </c>
      <c r="E175" s="202">
        <f t="shared" si="1"/>
        <v>57328</v>
      </c>
      <c r="F175" s="203">
        <f t="shared" si="2"/>
        <v>20880</v>
      </c>
      <c r="G175" s="204">
        <f t="shared" si="3"/>
        <v>36448</v>
      </c>
      <c r="H175" s="205">
        <v>0.0</v>
      </c>
      <c r="I175" s="202">
        <f t="shared" si="4"/>
        <v>3395841</v>
      </c>
      <c r="J175" s="213" t="s">
        <v>59</v>
      </c>
      <c r="K175" s="1"/>
    </row>
    <row r="176" ht="18.0" customHeight="1">
      <c r="A176" s="1"/>
      <c r="B176" s="52">
        <v>142.0</v>
      </c>
      <c r="C176" s="52" t="s">
        <v>457</v>
      </c>
      <c r="D176" s="208">
        <f t="shared" si="5"/>
        <v>3395841</v>
      </c>
      <c r="E176" s="208">
        <f t="shared" si="1"/>
        <v>57328</v>
      </c>
      <c r="F176" s="209">
        <f t="shared" si="2"/>
        <v>20658</v>
      </c>
      <c r="G176" s="210">
        <f t="shared" si="3"/>
        <v>36670</v>
      </c>
      <c r="H176" s="205">
        <v>0.0</v>
      </c>
      <c r="I176" s="208">
        <f t="shared" si="4"/>
        <v>3359171</v>
      </c>
      <c r="J176" s="212" t="s">
        <v>59</v>
      </c>
      <c r="K176" s="1"/>
    </row>
    <row r="177" ht="18.0" customHeight="1">
      <c r="A177" s="1"/>
      <c r="B177" s="37">
        <v>143.0</v>
      </c>
      <c r="C177" s="37" t="s">
        <v>458</v>
      </c>
      <c r="D177" s="202">
        <f t="shared" si="5"/>
        <v>3359171</v>
      </c>
      <c r="E177" s="202">
        <f t="shared" si="1"/>
        <v>57328</v>
      </c>
      <c r="F177" s="203">
        <f t="shared" si="2"/>
        <v>20435</v>
      </c>
      <c r="G177" s="204">
        <f t="shared" si="3"/>
        <v>36893</v>
      </c>
      <c r="H177" s="205">
        <v>0.0</v>
      </c>
      <c r="I177" s="202">
        <f t="shared" si="4"/>
        <v>3322278</v>
      </c>
      <c r="J177" s="213" t="s">
        <v>59</v>
      </c>
      <c r="K177" s="1"/>
    </row>
    <row r="178" ht="18.0" customHeight="1">
      <c r="A178" s="1"/>
      <c r="B178" s="52">
        <v>144.0</v>
      </c>
      <c r="C178" s="52" t="s">
        <v>459</v>
      </c>
      <c r="D178" s="208">
        <f t="shared" si="5"/>
        <v>3322278</v>
      </c>
      <c r="E178" s="208">
        <f t="shared" si="1"/>
        <v>57328</v>
      </c>
      <c r="F178" s="209">
        <f t="shared" si="2"/>
        <v>20211</v>
      </c>
      <c r="G178" s="210">
        <f t="shared" si="3"/>
        <v>37117</v>
      </c>
      <c r="H178" s="205">
        <v>0.0</v>
      </c>
      <c r="I178" s="208">
        <f t="shared" si="4"/>
        <v>3285161</v>
      </c>
      <c r="J178" s="212" t="s">
        <v>59</v>
      </c>
      <c r="K178" s="1"/>
    </row>
    <row r="179" ht="18.0" customHeight="1">
      <c r="A179" s="1"/>
      <c r="B179" s="37">
        <v>145.0</v>
      </c>
      <c r="C179" s="37" t="s">
        <v>460</v>
      </c>
      <c r="D179" s="202">
        <f t="shared" si="5"/>
        <v>3285161</v>
      </c>
      <c r="E179" s="202">
        <f t="shared" si="1"/>
        <v>57328</v>
      </c>
      <c r="F179" s="203">
        <f t="shared" si="2"/>
        <v>19985</v>
      </c>
      <c r="G179" s="204">
        <f t="shared" si="3"/>
        <v>37343</v>
      </c>
      <c r="H179" s="205">
        <v>0.0</v>
      </c>
      <c r="I179" s="202">
        <f t="shared" si="4"/>
        <v>3247818</v>
      </c>
      <c r="J179" s="213" t="s">
        <v>59</v>
      </c>
      <c r="K179" s="1"/>
    </row>
    <row r="180" ht="18.0" customHeight="1">
      <c r="A180" s="1"/>
      <c r="B180" s="52">
        <v>146.0</v>
      </c>
      <c r="C180" s="52" t="s">
        <v>461</v>
      </c>
      <c r="D180" s="208">
        <f t="shared" si="5"/>
        <v>3247818</v>
      </c>
      <c r="E180" s="208">
        <f t="shared" si="1"/>
        <v>57328</v>
      </c>
      <c r="F180" s="209">
        <f t="shared" si="2"/>
        <v>19758</v>
      </c>
      <c r="G180" s="210">
        <f t="shared" si="3"/>
        <v>37570</v>
      </c>
      <c r="H180" s="205">
        <v>0.0</v>
      </c>
      <c r="I180" s="208">
        <f t="shared" si="4"/>
        <v>3210248</v>
      </c>
      <c r="J180" s="212" t="s">
        <v>59</v>
      </c>
      <c r="K180" s="1"/>
    </row>
    <row r="181" ht="18.0" customHeight="1">
      <c r="A181" s="1"/>
      <c r="B181" s="37">
        <v>147.0</v>
      </c>
      <c r="C181" s="37" t="s">
        <v>462</v>
      </c>
      <c r="D181" s="202">
        <f t="shared" si="5"/>
        <v>3210248</v>
      </c>
      <c r="E181" s="202">
        <f t="shared" si="1"/>
        <v>57328</v>
      </c>
      <c r="F181" s="203">
        <f t="shared" si="2"/>
        <v>19529</v>
      </c>
      <c r="G181" s="204">
        <f t="shared" si="3"/>
        <v>37799</v>
      </c>
      <c r="H181" s="205">
        <v>0.0</v>
      </c>
      <c r="I181" s="202">
        <f t="shared" si="4"/>
        <v>3172449</v>
      </c>
      <c r="J181" s="213" t="s">
        <v>59</v>
      </c>
      <c r="K181" s="1"/>
    </row>
    <row r="182" ht="18.0" customHeight="1">
      <c r="A182" s="1"/>
      <c r="B182" s="52">
        <v>148.0</v>
      </c>
      <c r="C182" s="52" t="s">
        <v>463</v>
      </c>
      <c r="D182" s="208">
        <f t="shared" si="5"/>
        <v>3172449</v>
      </c>
      <c r="E182" s="208">
        <f t="shared" si="1"/>
        <v>57328</v>
      </c>
      <c r="F182" s="209">
        <f t="shared" si="2"/>
        <v>19299</v>
      </c>
      <c r="G182" s="210">
        <f t="shared" si="3"/>
        <v>38029</v>
      </c>
      <c r="H182" s="205">
        <v>0.0</v>
      </c>
      <c r="I182" s="208">
        <f t="shared" si="4"/>
        <v>3134420</v>
      </c>
      <c r="J182" s="212" t="s">
        <v>59</v>
      </c>
      <c r="K182" s="1"/>
    </row>
    <row r="183" ht="18.0" customHeight="1">
      <c r="A183" s="1"/>
      <c r="B183" s="37">
        <v>149.0</v>
      </c>
      <c r="C183" s="37" t="s">
        <v>464</v>
      </c>
      <c r="D183" s="202">
        <f t="shared" si="5"/>
        <v>3134420</v>
      </c>
      <c r="E183" s="202">
        <f t="shared" si="1"/>
        <v>57328</v>
      </c>
      <c r="F183" s="203">
        <f t="shared" si="2"/>
        <v>19068</v>
      </c>
      <c r="G183" s="204">
        <f t="shared" si="3"/>
        <v>38260</v>
      </c>
      <c r="H183" s="205">
        <v>0.0</v>
      </c>
      <c r="I183" s="202">
        <f t="shared" si="4"/>
        <v>3096160</v>
      </c>
      <c r="J183" s="213" t="s">
        <v>59</v>
      </c>
      <c r="K183" s="1"/>
    </row>
    <row r="184" ht="18.0" customHeight="1">
      <c r="A184" s="1"/>
      <c r="B184" s="52">
        <v>150.0</v>
      </c>
      <c r="C184" s="52" t="s">
        <v>465</v>
      </c>
      <c r="D184" s="208">
        <f t="shared" si="5"/>
        <v>3096160</v>
      </c>
      <c r="E184" s="208">
        <f t="shared" si="1"/>
        <v>57328</v>
      </c>
      <c r="F184" s="209">
        <f t="shared" si="2"/>
        <v>18835</v>
      </c>
      <c r="G184" s="210">
        <f t="shared" si="3"/>
        <v>38493</v>
      </c>
      <c r="H184" s="205">
        <v>0.0</v>
      </c>
      <c r="I184" s="208">
        <f t="shared" si="4"/>
        <v>3057667</v>
      </c>
      <c r="J184" s="212" t="s">
        <v>59</v>
      </c>
      <c r="K184" s="1"/>
    </row>
    <row r="185" ht="18.0" customHeight="1">
      <c r="A185" s="1"/>
      <c r="B185" s="37">
        <v>151.0</v>
      </c>
      <c r="C185" s="37" t="s">
        <v>466</v>
      </c>
      <c r="D185" s="202">
        <f t="shared" si="5"/>
        <v>3057667</v>
      </c>
      <c r="E185" s="202">
        <f t="shared" si="1"/>
        <v>57328</v>
      </c>
      <c r="F185" s="203">
        <f t="shared" si="2"/>
        <v>18601</v>
      </c>
      <c r="G185" s="204">
        <f t="shared" si="3"/>
        <v>38727</v>
      </c>
      <c r="H185" s="205">
        <v>0.0</v>
      </c>
      <c r="I185" s="202">
        <f t="shared" si="4"/>
        <v>3018940</v>
      </c>
      <c r="J185" s="213" t="s">
        <v>59</v>
      </c>
      <c r="K185" s="1"/>
    </row>
    <row r="186" ht="18.0" customHeight="1">
      <c r="A186" s="1"/>
      <c r="B186" s="52">
        <v>152.0</v>
      </c>
      <c r="C186" s="52" t="s">
        <v>467</v>
      </c>
      <c r="D186" s="208">
        <f t="shared" si="5"/>
        <v>3018940</v>
      </c>
      <c r="E186" s="208">
        <f t="shared" si="1"/>
        <v>57328</v>
      </c>
      <c r="F186" s="209">
        <f t="shared" si="2"/>
        <v>18365</v>
      </c>
      <c r="G186" s="210">
        <f t="shared" si="3"/>
        <v>38963</v>
      </c>
      <c r="H186" s="205">
        <v>0.0</v>
      </c>
      <c r="I186" s="208">
        <f t="shared" si="4"/>
        <v>2979977</v>
      </c>
      <c r="J186" s="212" t="s">
        <v>59</v>
      </c>
      <c r="K186" s="1"/>
    </row>
    <row r="187" ht="18.0" customHeight="1">
      <c r="A187" s="1"/>
      <c r="B187" s="37">
        <v>153.0</v>
      </c>
      <c r="C187" s="37" t="s">
        <v>468</v>
      </c>
      <c r="D187" s="202">
        <f t="shared" si="5"/>
        <v>2979977</v>
      </c>
      <c r="E187" s="202">
        <f t="shared" si="1"/>
        <v>57328</v>
      </c>
      <c r="F187" s="203">
        <f t="shared" si="2"/>
        <v>18128</v>
      </c>
      <c r="G187" s="204">
        <f t="shared" si="3"/>
        <v>39200</v>
      </c>
      <c r="H187" s="205">
        <v>0.0</v>
      </c>
      <c r="I187" s="202">
        <f t="shared" si="4"/>
        <v>2940777</v>
      </c>
      <c r="J187" s="213" t="s">
        <v>59</v>
      </c>
      <c r="K187" s="1"/>
    </row>
    <row r="188" ht="18.0" customHeight="1">
      <c r="A188" s="1"/>
      <c r="B188" s="52">
        <v>154.0</v>
      </c>
      <c r="C188" s="52" t="s">
        <v>469</v>
      </c>
      <c r="D188" s="208">
        <f t="shared" si="5"/>
        <v>2940777</v>
      </c>
      <c r="E188" s="208">
        <f t="shared" si="1"/>
        <v>57328</v>
      </c>
      <c r="F188" s="209">
        <f t="shared" si="2"/>
        <v>17890</v>
      </c>
      <c r="G188" s="210">
        <f t="shared" si="3"/>
        <v>39438</v>
      </c>
      <c r="H188" s="205">
        <v>0.0</v>
      </c>
      <c r="I188" s="208">
        <f t="shared" si="4"/>
        <v>2901339</v>
      </c>
      <c r="J188" s="212" t="s">
        <v>59</v>
      </c>
      <c r="K188" s="1"/>
    </row>
    <row r="189" ht="18.0" customHeight="1">
      <c r="A189" s="1"/>
      <c r="B189" s="37">
        <v>155.0</v>
      </c>
      <c r="C189" s="37" t="s">
        <v>470</v>
      </c>
      <c r="D189" s="202">
        <f t="shared" si="5"/>
        <v>2901339</v>
      </c>
      <c r="E189" s="202">
        <f t="shared" si="1"/>
        <v>57328</v>
      </c>
      <c r="F189" s="203">
        <f t="shared" si="2"/>
        <v>17650</v>
      </c>
      <c r="G189" s="204">
        <f t="shared" si="3"/>
        <v>39678</v>
      </c>
      <c r="H189" s="205">
        <v>0.0</v>
      </c>
      <c r="I189" s="202">
        <f t="shared" si="4"/>
        <v>2861661</v>
      </c>
      <c r="J189" s="213" t="s">
        <v>59</v>
      </c>
      <c r="K189" s="1"/>
    </row>
    <row r="190" ht="18.0" customHeight="1">
      <c r="A190" s="1"/>
      <c r="B190" s="52">
        <v>156.0</v>
      </c>
      <c r="C190" s="52" t="s">
        <v>471</v>
      </c>
      <c r="D190" s="208">
        <f t="shared" si="5"/>
        <v>2861661</v>
      </c>
      <c r="E190" s="208">
        <f t="shared" si="1"/>
        <v>57328</v>
      </c>
      <c r="F190" s="209">
        <f t="shared" si="2"/>
        <v>17408</v>
      </c>
      <c r="G190" s="210">
        <f t="shared" si="3"/>
        <v>39920</v>
      </c>
      <c r="H190" s="205">
        <v>0.0</v>
      </c>
      <c r="I190" s="208">
        <f t="shared" si="4"/>
        <v>2821741</v>
      </c>
      <c r="J190" s="212" t="s">
        <v>59</v>
      </c>
      <c r="K190" s="1"/>
    </row>
    <row r="191" ht="18.0" customHeight="1">
      <c r="A191" s="1"/>
      <c r="B191" s="37">
        <v>157.0</v>
      </c>
      <c r="C191" s="37" t="s">
        <v>472</v>
      </c>
      <c r="D191" s="202">
        <f t="shared" si="5"/>
        <v>2821741</v>
      </c>
      <c r="E191" s="202">
        <f t="shared" si="1"/>
        <v>57328</v>
      </c>
      <c r="F191" s="203">
        <f t="shared" si="2"/>
        <v>17166</v>
      </c>
      <c r="G191" s="204">
        <f t="shared" si="3"/>
        <v>40162</v>
      </c>
      <c r="H191" s="205">
        <v>0.0</v>
      </c>
      <c r="I191" s="202">
        <f t="shared" si="4"/>
        <v>2781579</v>
      </c>
      <c r="J191" s="213" t="s">
        <v>59</v>
      </c>
      <c r="K191" s="1"/>
    </row>
    <row r="192" ht="18.0" customHeight="1">
      <c r="A192" s="1"/>
      <c r="B192" s="52">
        <v>158.0</v>
      </c>
      <c r="C192" s="52" t="s">
        <v>473</v>
      </c>
      <c r="D192" s="208">
        <f t="shared" si="5"/>
        <v>2781579</v>
      </c>
      <c r="E192" s="208">
        <f t="shared" si="1"/>
        <v>57328</v>
      </c>
      <c r="F192" s="209">
        <f t="shared" si="2"/>
        <v>16921</v>
      </c>
      <c r="G192" s="210">
        <f t="shared" si="3"/>
        <v>40407</v>
      </c>
      <c r="H192" s="205">
        <v>0.0</v>
      </c>
      <c r="I192" s="208">
        <f t="shared" si="4"/>
        <v>2741172</v>
      </c>
      <c r="J192" s="212" t="s">
        <v>59</v>
      </c>
      <c r="K192" s="1"/>
    </row>
    <row r="193" ht="18.0" customHeight="1">
      <c r="A193" s="1"/>
      <c r="B193" s="37">
        <v>159.0</v>
      </c>
      <c r="C193" s="37" t="s">
        <v>474</v>
      </c>
      <c r="D193" s="202">
        <f t="shared" si="5"/>
        <v>2741172</v>
      </c>
      <c r="E193" s="202">
        <f t="shared" si="1"/>
        <v>57328</v>
      </c>
      <c r="F193" s="203">
        <f t="shared" si="2"/>
        <v>16675</v>
      </c>
      <c r="G193" s="204">
        <f t="shared" si="3"/>
        <v>40653</v>
      </c>
      <c r="H193" s="205">
        <v>0.0</v>
      </c>
      <c r="I193" s="202">
        <f t="shared" si="4"/>
        <v>2700519</v>
      </c>
      <c r="J193" s="213" t="s">
        <v>59</v>
      </c>
      <c r="K193" s="1"/>
    </row>
    <row r="194" ht="18.0" customHeight="1">
      <c r="A194" s="1"/>
      <c r="B194" s="52">
        <v>160.0</v>
      </c>
      <c r="C194" s="52" t="s">
        <v>475</v>
      </c>
      <c r="D194" s="208">
        <f t="shared" si="5"/>
        <v>2700519</v>
      </c>
      <c r="E194" s="208">
        <f t="shared" si="1"/>
        <v>57328</v>
      </c>
      <c r="F194" s="209">
        <f t="shared" si="2"/>
        <v>16428</v>
      </c>
      <c r="G194" s="210">
        <f t="shared" si="3"/>
        <v>40900</v>
      </c>
      <c r="H194" s="205">
        <v>0.0</v>
      </c>
      <c r="I194" s="208">
        <f t="shared" si="4"/>
        <v>2659619</v>
      </c>
      <c r="J194" s="212" t="s">
        <v>59</v>
      </c>
      <c r="K194" s="1"/>
    </row>
    <row r="195" ht="18.0" customHeight="1">
      <c r="A195" s="1"/>
      <c r="B195" s="37">
        <v>161.0</v>
      </c>
      <c r="C195" s="37" t="s">
        <v>476</v>
      </c>
      <c r="D195" s="202">
        <f t="shared" si="5"/>
        <v>2659619</v>
      </c>
      <c r="E195" s="202">
        <f t="shared" si="1"/>
        <v>57328</v>
      </c>
      <c r="F195" s="203">
        <f t="shared" si="2"/>
        <v>16179</v>
      </c>
      <c r="G195" s="204">
        <f t="shared" si="3"/>
        <v>41149</v>
      </c>
      <c r="H195" s="205">
        <v>0.0</v>
      </c>
      <c r="I195" s="202">
        <f t="shared" si="4"/>
        <v>2618470</v>
      </c>
      <c r="J195" s="213" t="s">
        <v>59</v>
      </c>
      <c r="K195" s="1"/>
    </row>
    <row r="196" ht="18.0" customHeight="1">
      <c r="A196" s="1"/>
      <c r="B196" s="52">
        <v>162.0</v>
      </c>
      <c r="C196" s="52" t="s">
        <v>477</v>
      </c>
      <c r="D196" s="208">
        <f t="shared" si="5"/>
        <v>2618470</v>
      </c>
      <c r="E196" s="208">
        <f t="shared" si="1"/>
        <v>57328</v>
      </c>
      <c r="F196" s="209">
        <f t="shared" si="2"/>
        <v>15929</v>
      </c>
      <c r="G196" s="210">
        <f t="shared" si="3"/>
        <v>41399</v>
      </c>
      <c r="H196" s="205">
        <v>0.0</v>
      </c>
      <c r="I196" s="208">
        <f t="shared" si="4"/>
        <v>2577071</v>
      </c>
      <c r="J196" s="212" t="s">
        <v>59</v>
      </c>
      <c r="K196" s="1"/>
    </row>
    <row r="197" ht="18.0" customHeight="1">
      <c r="A197" s="1"/>
      <c r="B197" s="37">
        <v>163.0</v>
      </c>
      <c r="C197" s="37" t="s">
        <v>478</v>
      </c>
      <c r="D197" s="202">
        <f t="shared" si="5"/>
        <v>2577071</v>
      </c>
      <c r="E197" s="202">
        <f t="shared" si="1"/>
        <v>57328</v>
      </c>
      <c r="F197" s="203">
        <f t="shared" si="2"/>
        <v>15677</v>
      </c>
      <c r="G197" s="204">
        <f t="shared" si="3"/>
        <v>41651</v>
      </c>
      <c r="H197" s="205">
        <v>0.0</v>
      </c>
      <c r="I197" s="202">
        <f t="shared" si="4"/>
        <v>2535420</v>
      </c>
      <c r="J197" s="213" t="s">
        <v>59</v>
      </c>
      <c r="K197" s="1"/>
    </row>
    <row r="198" ht="18.0" customHeight="1">
      <c r="A198" s="1"/>
      <c r="B198" s="52">
        <v>164.0</v>
      </c>
      <c r="C198" s="52" t="s">
        <v>479</v>
      </c>
      <c r="D198" s="208">
        <f t="shared" si="5"/>
        <v>2535420</v>
      </c>
      <c r="E198" s="208">
        <f t="shared" si="1"/>
        <v>57328</v>
      </c>
      <c r="F198" s="209">
        <f t="shared" si="2"/>
        <v>15424</v>
      </c>
      <c r="G198" s="210">
        <f t="shared" si="3"/>
        <v>41904</v>
      </c>
      <c r="H198" s="205">
        <v>0.0</v>
      </c>
      <c r="I198" s="208">
        <f t="shared" si="4"/>
        <v>2493516</v>
      </c>
      <c r="J198" s="212" t="s">
        <v>59</v>
      </c>
      <c r="K198" s="1"/>
    </row>
    <row r="199" ht="18.0" customHeight="1">
      <c r="A199" s="1"/>
      <c r="B199" s="37">
        <v>165.0</v>
      </c>
      <c r="C199" s="37" t="s">
        <v>480</v>
      </c>
      <c r="D199" s="202">
        <f t="shared" si="5"/>
        <v>2493516</v>
      </c>
      <c r="E199" s="202">
        <f t="shared" si="1"/>
        <v>57328</v>
      </c>
      <c r="F199" s="203">
        <f t="shared" si="2"/>
        <v>15169</v>
      </c>
      <c r="G199" s="204">
        <f t="shared" si="3"/>
        <v>42159</v>
      </c>
      <c r="H199" s="205">
        <v>0.0</v>
      </c>
      <c r="I199" s="202">
        <f t="shared" si="4"/>
        <v>2451357</v>
      </c>
      <c r="J199" s="213" t="s">
        <v>59</v>
      </c>
      <c r="K199" s="1"/>
    </row>
    <row r="200" ht="18.0" customHeight="1">
      <c r="A200" s="1"/>
      <c r="B200" s="52">
        <v>166.0</v>
      </c>
      <c r="C200" s="52" t="s">
        <v>481</v>
      </c>
      <c r="D200" s="208">
        <f t="shared" si="5"/>
        <v>2451357</v>
      </c>
      <c r="E200" s="208">
        <f t="shared" si="1"/>
        <v>57328</v>
      </c>
      <c r="F200" s="209">
        <f t="shared" si="2"/>
        <v>14912</v>
      </c>
      <c r="G200" s="210">
        <f t="shared" si="3"/>
        <v>42416</v>
      </c>
      <c r="H200" s="205">
        <v>0.0</v>
      </c>
      <c r="I200" s="208">
        <f t="shared" si="4"/>
        <v>2408941</v>
      </c>
      <c r="J200" s="212" t="s">
        <v>59</v>
      </c>
      <c r="K200" s="1"/>
    </row>
    <row r="201" ht="18.0" customHeight="1">
      <c r="A201" s="1"/>
      <c r="B201" s="37">
        <v>167.0</v>
      </c>
      <c r="C201" s="37" t="s">
        <v>482</v>
      </c>
      <c r="D201" s="202">
        <f t="shared" si="5"/>
        <v>2408941</v>
      </c>
      <c r="E201" s="202">
        <f t="shared" si="1"/>
        <v>57328</v>
      </c>
      <c r="F201" s="203">
        <f t="shared" si="2"/>
        <v>14654</v>
      </c>
      <c r="G201" s="204">
        <f t="shared" si="3"/>
        <v>42674</v>
      </c>
      <c r="H201" s="205">
        <v>0.0</v>
      </c>
      <c r="I201" s="202">
        <f t="shared" si="4"/>
        <v>2366267</v>
      </c>
      <c r="J201" s="213" t="s">
        <v>59</v>
      </c>
      <c r="K201" s="1"/>
    </row>
    <row r="202" ht="18.0" customHeight="1">
      <c r="A202" s="1"/>
      <c r="B202" s="52">
        <v>168.0</v>
      </c>
      <c r="C202" s="52" t="s">
        <v>483</v>
      </c>
      <c r="D202" s="208">
        <f t="shared" si="5"/>
        <v>2366267</v>
      </c>
      <c r="E202" s="208">
        <f t="shared" si="1"/>
        <v>57328</v>
      </c>
      <c r="F202" s="209">
        <f t="shared" si="2"/>
        <v>14395</v>
      </c>
      <c r="G202" s="210">
        <f t="shared" si="3"/>
        <v>42933</v>
      </c>
      <c r="H202" s="205">
        <v>0.0</v>
      </c>
      <c r="I202" s="208">
        <f t="shared" si="4"/>
        <v>2323334</v>
      </c>
      <c r="J202" s="212" t="s">
        <v>59</v>
      </c>
      <c r="K202" s="1"/>
    </row>
    <row r="203" ht="18.0" customHeight="1">
      <c r="A203" s="1"/>
      <c r="B203" s="37">
        <v>169.0</v>
      </c>
      <c r="C203" s="37" t="s">
        <v>484</v>
      </c>
      <c r="D203" s="202">
        <f t="shared" si="5"/>
        <v>2323334</v>
      </c>
      <c r="E203" s="202">
        <f t="shared" si="1"/>
        <v>57328</v>
      </c>
      <c r="F203" s="203">
        <f t="shared" si="2"/>
        <v>14134</v>
      </c>
      <c r="G203" s="204">
        <f t="shared" si="3"/>
        <v>43194</v>
      </c>
      <c r="H203" s="205">
        <v>0.0</v>
      </c>
      <c r="I203" s="202">
        <f t="shared" si="4"/>
        <v>2280140</v>
      </c>
      <c r="J203" s="213" t="s">
        <v>59</v>
      </c>
      <c r="K203" s="1"/>
    </row>
    <row r="204" ht="18.0" customHeight="1">
      <c r="A204" s="1"/>
      <c r="B204" s="52">
        <v>170.0</v>
      </c>
      <c r="C204" s="52" t="s">
        <v>485</v>
      </c>
      <c r="D204" s="208">
        <f t="shared" si="5"/>
        <v>2280140</v>
      </c>
      <c r="E204" s="208">
        <f t="shared" si="1"/>
        <v>57328</v>
      </c>
      <c r="F204" s="209">
        <f t="shared" si="2"/>
        <v>13871</v>
      </c>
      <c r="G204" s="210">
        <f t="shared" si="3"/>
        <v>43457</v>
      </c>
      <c r="H204" s="205">
        <v>0.0</v>
      </c>
      <c r="I204" s="208">
        <f t="shared" si="4"/>
        <v>2236683</v>
      </c>
      <c r="J204" s="212" t="s">
        <v>59</v>
      </c>
      <c r="K204" s="1"/>
    </row>
    <row r="205" ht="18.0" customHeight="1">
      <c r="A205" s="1"/>
      <c r="B205" s="37">
        <v>171.0</v>
      </c>
      <c r="C205" s="37" t="s">
        <v>486</v>
      </c>
      <c r="D205" s="202">
        <f t="shared" si="5"/>
        <v>2236683</v>
      </c>
      <c r="E205" s="202">
        <f t="shared" si="1"/>
        <v>57328</v>
      </c>
      <c r="F205" s="203">
        <f t="shared" si="2"/>
        <v>13606</v>
      </c>
      <c r="G205" s="204">
        <f t="shared" si="3"/>
        <v>43722</v>
      </c>
      <c r="H205" s="205">
        <v>0.0</v>
      </c>
      <c r="I205" s="202">
        <f t="shared" si="4"/>
        <v>2192961</v>
      </c>
      <c r="J205" s="213" t="s">
        <v>59</v>
      </c>
      <c r="K205" s="1"/>
    </row>
    <row r="206" ht="18.0" customHeight="1">
      <c r="A206" s="1"/>
      <c r="B206" s="52">
        <v>172.0</v>
      </c>
      <c r="C206" s="52" t="s">
        <v>487</v>
      </c>
      <c r="D206" s="208">
        <f t="shared" si="5"/>
        <v>2192961</v>
      </c>
      <c r="E206" s="208">
        <f t="shared" si="1"/>
        <v>57328</v>
      </c>
      <c r="F206" s="209">
        <f t="shared" si="2"/>
        <v>13341</v>
      </c>
      <c r="G206" s="210">
        <f t="shared" si="3"/>
        <v>43987</v>
      </c>
      <c r="H206" s="205">
        <v>0.0</v>
      </c>
      <c r="I206" s="208">
        <f t="shared" si="4"/>
        <v>2148974</v>
      </c>
      <c r="J206" s="212" t="s">
        <v>59</v>
      </c>
      <c r="K206" s="1"/>
    </row>
    <row r="207" ht="18.0" customHeight="1">
      <c r="A207" s="1"/>
      <c r="B207" s="37">
        <v>173.0</v>
      </c>
      <c r="C207" s="37" t="s">
        <v>488</v>
      </c>
      <c r="D207" s="202">
        <f t="shared" si="5"/>
        <v>2148974</v>
      </c>
      <c r="E207" s="202">
        <f t="shared" si="1"/>
        <v>57328</v>
      </c>
      <c r="F207" s="203">
        <f t="shared" si="2"/>
        <v>13073</v>
      </c>
      <c r="G207" s="204">
        <f t="shared" si="3"/>
        <v>44255</v>
      </c>
      <c r="H207" s="205">
        <v>0.0</v>
      </c>
      <c r="I207" s="202">
        <f t="shared" si="4"/>
        <v>2104719</v>
      </c>
      <c r="J207" s="213" t="s">
        <v>59</v>
      </c>
      <c r="K207" s="1"/>
    </row>
    <row r="208" ht="18.0" customHeight="1">
      <c r="A208" s="1"/>
      <c r="B208" s="52">
        <v>174.0</v>
      </c>
      <c r="C208" s="52" t="s">
        <v>489</v>
      </c>
      <c r="D208" s="208">
        <f t="shared" si="5"/>
        <v>2104719</v>
      </c>
      <c r="E208" s="208">
        <f t="shared" si="1"/>
        <v>57328</v>
      </c>
      <c r="F208" s="209">
        <f t="shared" si="2"/>
        <v>12804</v>
      </c>
      <c r="G208" s="210">
        <f t="shared" si="3"/>
        <v>44524</v>
      </c>
      <c r="H208" s="205">
        <v>0.0</v>
      </c>
      <c r="I208" s="208">
        <f t="shared" si="4"/>
        <v>2060195</v>
      </c>
      <c r="J208" s="212" t="s">
        <v>59</v>
      </c>
      <c r="K208" s="1"/>
    </row>
    <row r="209" ht="18.0" customHeight="1">
      <c r="A209" s="1"/>
      <c r="B209" s="37">
        <v>175.0</v>
      </c>
      <c r="C209" s="37" t="s">
        <v>490</v>
      </c>
      <c r="D209" s="202">
        <f t="shared" si="5"/>
        <v>2060195</v>
      </c>
      <c r="E209" s="202">
        <f t="shared" si="1"/>
        <v>57328</v>
      </c>
      <c r="F209" s="203">
        <f t="shared" si="2"/>
        <v>12533</v>
      </c>
      <c r="G209" s="204">
        <f t="shared" si="3"/>
        <v>44795</v>
      </c>
      <c r="H209" s="205">
        <v>0.0</v>
      </c>
      <c r="I209" s="202">
        <f t="shared" si="4"/>
        <v>2015400</v>
      </c>
      <c r="J209" s="213" t="s">
        <v>59</v>
      </c>
      <c r="K209" s="1"/>
    </row>
    <row r="210" ht="18.0" customHeight="1">
      <c r="A210" s="1"/>
      <c r="B210" s="52">
        <v>176.0</v>
      </c>
      <c r="C210" s="52" t="s">
        <v>491</v>
      </c>
      <c r="D210" s="208">
        <f t="shared" si="5"/>
        <v>2015400</v>
      </c>
      <c r="E210" s="208">
        <f t="shared" si="1"/>
        <v>57328</v>
      </c>
      <c r="F210" s="209">
        <f t="shared" si="2"/>
        <v>12260</v>
      </c>
      <c r="G210" s="210">
        <f t="shared" si="3"/>
        <v>45068</v>
      </c>
      <c r="H210" s="205">
        <v>0.0</v>
      </c>
      <c r="I210" s="208">
        <f t="shared" si="4"/>
        <v>1970332</v>
      </c>
      <c r="J210" s="212" t="s">
        <v>59</v>
      </c>
      <c r="K210" s="1"/>
    </row>
    <row r="211" ht="18.0" customHeight="1">
      <c r="A211" s="1"/>
      <c r="B211" s="37">
        <v>177.0</v>
      </c>
      <c r="C211" s="37" t="s">
        <v>492</v>
      </c>
      <c r="D211" s="202">
        <f t="shared" si="5"/>
        <v>1970332</v>
      </c>
      <c r="E211" s="202">
        <f t="shared" si="1"/>
        <v>57328</v>
      </c>
      <c r="F211" s="203">
        <f t="shared" si="2"/>
        <v>11986</v>
      </c>
      <c r="G211" s="204">
        <f t="shared" si="3"/>
        <v>45342</v>
      </c>
      <c r="H211" s="205">
        <v>0.0</v>
      </c>
      <c r="I211" s="202">
        <f t="shared" si="4"/>
        <v>1924990</v>
      </c>
      <c r="J211" s="213" t="s">
        <v>59</v>
      </c>
      <c r="K211" s="1"/>
    </row>
    <row r="212" ht="18.0" customHeight="1">
      <c r="A212" s="1"/>
      <c r="B212" s="52">
        <v>178.0</v>
      </c>
      <c r="C212" s="52" t="s">
        <v>493</v>
      </c>
      <c r="D212" s="208">
        <f t="shared" si="5"/>
        <v>1924990</v>
      </c>
      <c r="E212" s="208">
        <f t="shared" si="1"/>
        <v>57328</v>
      </c>
      <c r="F212" s="209">
        <f t="shared" si="2"/>
        <v>11710</v>
      </c>
      <c r="G212" s="210">
        <f t="shared" si="3"/>
        <v>45618</v>
      </c>
      <c r="H212" s="205">
        <v>0.0</v>
      </c>
      <c r="I212" s="208">
        <f t="shared" si="4"/>
        <v>1879372</v>
      </c>
      <c r="J212" s="212" t="s">
        <v>59</v>
      </c>
      <c r="K212" s="1"/>
    </row>
    <row r="213" ht="18.0" customHeight="1">
      <c r="A213" s="1"/>
      <c r="B213" s="37">
        <v>179.0</v>
      </c>
      <c r="C213" s="37" t="s">
        <v>494</v>
      </c>
      <c r="D213" s="202">
        <f t="shared" si="5"/>
        <v>1879372</v>
      </c>
      <c r="E213" s="202">
        <f t="shared" si="1"/>
        <v>57328</v>
      </c>
      <c r="F213" s="203">
        <f t="shared" si="2"/>
        <v>11433</v>
      </c>
      <c r="G213" s="204">
        <f t="shared" si="3"/>
        <v>45895</v>
      </c>
      <c r="H213" s="205">
        <v>0.0</v>
      </c>
      <c r="I213" s="202">
        <f t="shared" si="4"/>
        <v>1833477</v>
      </c>
      <c r="J213" s="213" t="s">
        <v>59</v>
      </c>
      <c r="K213" s="1"/>
    </row>
    <row r="214" ht="18.0" customHeight="1">
      <c r="A214" s="1"/>
      <c r="B214" s="52">
        <v>180.0</v>
      </c>
      <c r="C214" s="52" t="s">
        <v>495</v>
      </c>
      <c r="D214" s="208">
        <f t="shared" si="5"/>
        <v>1833477</v>
      </c>
      <c r="E214" s="208">
        <f t="shared" si="1"/>
        <v>57328</v>
      </c>
      <c r="F214" s="209">
        <f t="shared" si="2"/>
        <v>11154</v>
      </c>
      <c r="G214" s="210">
        <f t="shared" si="3"/>
        <v>46174</v>
      </c>
      <c r="H214" s="205">
        <v>0.0</v>
      </c>
      <c r="I214" s="208">
        <f t="shared" si="4"/>
        <v>1787303</v>
      </c>
      <c r="J214" s="212" t="s">
        <v>59</v>
      </c>
      <c r="K214" s="1"/>
    </row>
    <row r="215" ht="18.0" customHeight="1">
      <c r="A215" s="1"/>
      <c r="B215" s="37">
        <v>181.0</v>
      </c>
      <c r="C215" s="37" t="s">
        <v>496</v>
      </c>
      <c r="D215" s="202">
        <f t="shared" si="5"/>
        <v>1787303</v>
      </c>
      <c r="E215" s="202">
        <f t="shared" si="1"/>
        <v>57328</v>
      </c>
      <c r="F215" s="203">
        <f t="shared" si="2"/>
        <v>10873</v>
      </c>
      <c r="G215" s="204">
        <f t="shared" si="3"/>
        <v>46455</v>
      </c>
      <c r="H215" s="205">
        <v>0.0</v>
      </c>
      <c r="I215" s="202">
        <f t="shared" si="4"/>
        <v>1740848</v>
      </c>
      <c r="J215" s="213" t="s">
        <v>59</v>
      </c>
      <c r="K215" s="1"/>
    </row>
    <row r="216" ht="18.0" customHeight="1">
      <c r="A216" s="1"/>
      <c r="B216" s="52">
        <v>182.0</v>
      </c>
      <c r="C216" s="52" t="s">
        <v>497</v>
      </c>
      <c r="D216" s="208">
        <f t="shared" si="5"/>
        <v>1740848</v>
      </c>
      <c r="E216" s="208">
        <f t="shared" si="1"/>
        <v>57328</v>
      </c>
      <c r="F216" s="209">
        <f t="shared" si="2"/>
        <v>10590</v>
      </c>
      <c r="G216" s="210">
        <f t="shared" si="3"/>
        <v>46738</v>
      </c>
      <c r="H216" s="205">
        <v>0.0</v>
      </c>
      <c r="I216" s="208">
        <f t="shared" si="4"/>
        <v>1694110</v>
      </c>
      <c r="J216" s="212" t="s">
        <v>59</v>
      </c>
      <c r="K216" s="1"/>
    </row>
    <row r="217" ht="18.0" customHeight="1">
      <c r="A217" s="1"/>
      <c r="B217" s="37">
        <v>183.0</v>
      </c>
      <c r="C217" s="37" t="s">
        <v>498</v>
      </c>
      <c r="D217" s="202">
        <f t="shared" si="5"/>
        <v>1694110</v>
      </c>
      <c r="E217" s="202">
        <f t="shared" si="1"/>
        <v>57328</v>
      </c>
      <c r="F217" s="203">
        <f t="shared" si="2"/>
        <v>10306</v>
      </c>
      <c r="G217" s="204">
        <f t="shared" si="3"/>
        <v>47022</v>
      </c>
      <c r="H217" s="205">
        <v>0.0</v>
      </c>
      <c r="I217" s="202">
        <f t="shared" si="4"/>
        <v>1647088</v>
      </c>
      <c r="J217" s="213" t="s">
        <v>59</v>
      </c>
      <c r="K217" s="1"/>
    </row>
    <row r="218" ht="18.0" customHeight="1">
      <c r="A218" s="1"/>
      <c r="B218" s="52">
        <v>184.0</v>
      </c>
      <c r="C218" s="52" t="s">
        <v>499</v>
      </c>
      <c r="D218" s="208">
        <f t="shared" si="5"/>
        <v>1647088</v>
      </c>
      <c r="E218" s="208">
        <f t="shared" si="1"/>
        <v>57328</v>
      </c>
      <c r="F218" s="209">
        <f t="shared" si="2"/>
        <v>10020</v>
      </c>
      <c r="G218" s="210">
        <f t="shared" si="3"/>
        <v>47308</v>
      </c>
      <c r="H218" s="205">
        <v>0.0</v>
      </c>
      <c r="I218" s="208">
        <f t="shared" si="4"/>
        <v>1599780</v>
      </c>
      <c r="J218" s="212" t="s">
        <v>59</v>
      </c>
      <c r="K218" s="1"/>
    </row>
    <row r="219" ht="18.0" customHeight="1">
      <c r="A219" s="1"/>
      <c r="B219" s="37">
        <v>185.0</v>
      </c>
      <c r="C219" s="37" t="s">
        <v>500</v>
      </c>
      <c r="D219" s="202">
        <f t="shared" si="5"/>
        <v>1599780</v>
      </c>
      <c r="E219" s="202">
        <f t="shared" si="1"/>
        <v>57328</v>
      </c>
      <c r="F219" s="203">
        <f t="shared" si="2"/>
        <v>9732</v>
      </c>
      <c r="G219" s="204">
        <f t="shared" si="3"/>
        <v>47596</v>
      </c>
      <c r="H219" s="205">
        <v>0.0</v>
      </c>
      <c r="I219" s="202">
        <f t="shared" si="4"/>
        <v>1552184</v>
      </c>
      <c r="J219" s="213" t="s">
        <v>59</v>
      </c>
      <c r="K219" s="1"/>
    </row>
    <row r="220" ht="18.0" customHeight="1">
      <c r="A220" s="1"/>
      <c r="B220" s="52">
        <v>186.0</v>
      </c>
      <c r="C220" s="52" t="s">
        <v>501</v>
      </c>
      <c r="D220" s="208">
        <f t="shared" si="5"/>
        <v>1552184</v>
      </c>
      <c r="E220" s="208">
        <f t="shared" si="1"/>
        <v>57328</v>
      </c>
      <c r="F220" s="209">
        <f t="shared" si="2"/>
        <v>9442</v>
      </c>
      <c r="G220" s="210">
        <f t="shared" si="3"/>
        <v>47886</v>
      </c>
      <c r="H220" s="205">
        <v>0.0</v>
      </c>
      <c r="I220" s="208">
        <f t="shared" si="4"/>
        <v>1504298</v>
      </c>
      <c r="J220" s="212" t="s">
        <v>59</v>
      </c>
      <c r="K220" s="1"/>
    </row>
    <row r="221" ht="18.0" customHeight="1">
      <c r="A221" s="1"/>
      <c r="B221" s="37">
        <v>187.0</v>
      </c>
      <c r="C221" s="37" t="s">
        <v>502</v>
      </c>
      <c r="D221" s="202">
        <f t="shared" si="5"/>
        <v>1504298</v>
      </c>
      <c r="E221" s="202">
        <f t="shared" si="1"/>
        <v>57328</v>
      </c>
      <c r="F221" s="203">
        <f t="shared" si="2"/>
        <v>9151</v>
      </c>
      <c r="G221" s="204">
        <f t="shared" si="3"/>
        <v>48177</v>
      </c>
      <c r="H221" s="205">
        <v>0.0</v>
      </c>
      <c r="I221" s="202">
        <f t="shared" si="4"/>
        <v>1456121</v>
      </c>
      <c r="J221" s="213" t="s">
        <v>59</v>
      </c>
      <c r="K221" s="1"/>
    </row>
    <row r="222" ht="18.0" customHeight="1">
      <c r="A222" s="1"/>
      <c r="B222" s="52">
        <v>188.0</v>
      </c>
      <c r="C222" s="52" t="s">
        <v>503</v>
      </c>
      <c r="D222" s="208">
        <f t="shared" si="5"/>
        <v>1456121</v>
      </c>
      <c r="E222" s="208">
        <f t="shared" si="1"/>
        <v>57328</v>
      </c>
      <c r="F222" s="209">
        <f t="shared" si="2"/>
        <v>8858</v>
      </c>
      <c r="G222" s="210">
        <f t="shared" si="3"/>
        <v>48470</v>
      </c>
      <c r="H222" s="205">
        <v>0.0</v>
      </c>
      <c r="I222" s="208">
        <f t="shared" si="4"/>
        <v>1407651</v>
      </c>
      <c r="J222" s="212" t="s">
        <v>59</v>
      </c>
      <c r="K222" s="1"/>
    </row>
    <row r="223" ht="18.0" customHeight="1">
      <c r="A223" s="1"/>
      <c r="B223" s="37">
        <v>189.0</v>
      </c>
      <c r="C223" s="37" t="s">
        <v>504</v>
      </c>
      <c r="D223" s="202">
        <f t="shared" si="5"/>
        <v>1407651</v>
      </c>
      <c r="E223" s="202">
        <f t="shared" si="1"/>
        <v>57328</v>
      </c>
      <c r="F223" s="203">
        <f t="shared" si="2"/>
        <v>8563</v>
      </c>
      <c r="G223" s="204">
        <f t="shared" si="3"/>
        <v>48765</v>
      </c>
      <c r="H223" s="205">
        <v>0.0</v>
      </c>
      <c r="I223" s="202">
        <f t="shared" si="4"/>
        <v>1358886</v>
      </c>
      <c r="J223" s="213" t="s">
        <v>59</v>
      </c>
      <c r="K223" s="1"/>
    </row>
    <row r="224" ht="18.0" customHeight="1">
      <c r="A224" s="1"/>
      <c r="B224" s="52">
        <v>190.0</v>
      </c>
      <c r="C224" s="52" t="s">
        <v>505</v>
      </c>
      <c r="D224" s="208">
        <f t="shared" si="5"/>
        <v>1358886</v>
      </c>
      <c r="E224" s="208">
        <f t="shared" si="1"/>
        <v>57328</v>
      </c>
      <c r="F224" s="209">
        <f t="shared" si="2"/>
        <v>8267</v>
      </c>
      <c r="G224" s="210">
        <f t="shared" si="3"/>
        <v>49061</v>
      </c>
      <c r="H224" s="205">
        <v>0.0</v>
      </c>
      <c r="I224" s="208">
        <f t="shared" si="4"/>
        <v>1309825</v>
      </c>
      <c r="J224" s="212" t="s">
        <v>59</v>
      </c>
      <c r="K224" s="1"/>
    </row>
    <row r="225" ht="18.0" customHeight="1">
      <c r="A225" s="1"/>
      <c r="B225" s="37">
        <v>191.0</v>
      </c>
      <c r="C225" s="37" t="s">
        <v>506</v>
      </c>
      <c r="D225" s="202">
        <f t="shared" si="5"/>
        <v>1309825</v>
      </c>
      <c r="E225" s="202">
        <f t="shared" si="1"/>
        <v>57328</v>
      </c>
      <c r="F225" s="203">
        <f t="shared" si="2"/>
        <v>7968</v>
      </c>
      <c r="G225" s="204">
        <f t="shared" si="3"/>
        <v>49360</v>
      </c>
      <c r="H225" s="205">
        <v>0.0</v>
      </c>
      <c r="I225" s="202">
        <f t="shared" si="4"/>
        <v>1260465</v>
      </c>
      <c r="J225" s="213" t="s">
        <v>59</v>
      </c>
      <c r="K225" s="1"/>
    </row>
    <row r="226" ht="18.0" customHeight="1">
      <c r="A226" s="1"/>
      <c r="B226" s="52">
        <v>192.0</v>
      </c>
      <c r="C226" s="52" t="s">
        <v>507</v>
      </c>
      <c r="D226" s="208">
        <f t="shared" si="5"/>
        <v>1260465</v>
      </c>
      <c r="E226" s="208">
        <f t="shared" si="1"/>
        <v>57328</v>
      </c>
      <c r="F226" s="209">
        <f t="shared" si="2"/>
        <v>7668</v>
      </c>
      <c r="G226" s="210">
        <f t="shared" si="3"/>
        <v>49660</v>
      </c>
      <c r="H226" s="205">
        <v>0.0</v>
      </c>
      <c r="I226" s="208">
        <f t="shared" si="4"/>
        <v>1210805</v>
      </c>
      <c r="J226" s="212" t="s">
        <v>59</v>
      </c>
      <c r="K226" s="1"/>
    </row>
    <row r="227" ht="18.0" customHeight="1">
      <c r="A227" s="1"/>
      <c r="B227" s="37">
        <v>193.0</v>
      </c>
      <c r="C227" s="37" t="s">
        <v>508</v>
      </c>
      <c r="D227" s="202">
        <f t="shared" si="5"/>
        <v>1210805</v>
      </c>
      <c r="E227" s="202">
        <f t="shared" si="1"/>
        <v>57328</v>
      </c>
      <c r="F227" s="203">
        <f t="shared" si="2"/>
        <v>7366</v>
      </c>
      <c r="G227" s="204">
        <f t="shared" si="3"/>
        <v>49962</v>
      </c>
      <c r="H227" s="205">
        <v>0.0</v>
      </c>
      <c r="I227" s="202">
        <f t="shared" si="4"/>
        <v>1160843</v>
      </c>
      <c r="J227" s="213" t="s">
        <v>59</v>
      </c>
      <c r="K227" s="1"/>
    </row>
    <row r="228" ht="18.0" customHeight="1">
      <c r="A228" s="1"/>
      <c r="B228" s="52">
        <v>194.0</v>
      </c>
      <c r="C228" s="52" t="s">
        <v>509</v>
      </c>
      <c r="D228" s="208">
        <f t="shared" si="5"/>
        <v>1160843</v>
      </c>
      <c r="E228" s="208">
        <f t="shared" si="1"/>
        <v>57328</v>
      </c>
      <c r="F228" s="209">
        <f t="shared" si="2"/>
        <v>7062</v>
      </c>
      <c r="G228" s="210">
        <f t="shared" si="3"/>
        <v>50266</v>
      </c>
      <c r="H228" s="205">
        <v>0.0</v>
      </c>
      <c r="I228" s="208">
        <f t="shared" si="4"/>
        <v>1110577</v>
      </c>
      <c r="J228" s="212" t="s">
        <v>59</v>
      </c>
      <c r="K228" s="1"/>
    </row>
    <row r="229" ht="18.0" customHeight="1">
      <c r="A229" s="1"/>
      <c r="B229" s="37">
        <v>195.0</v>
      </c>
      <c r="C229" s="37" t="s">
        <v>510</v>
      </c>
      <c r="D229" s="202">
        <f t="shared" si="5"/>
        <v>1110577</v>
      </c>
      <c r="E229" s="202">
        <f t="shared" si="1"/>
        <v>57328</v>
      </c>
      <c r="F229" s="203">
        <f t="shared" si="2"/>
        <v>6756</v>
      </c>
      <c r="G229" s="204">
        <f t="shared" si="3"/>
        <v>50572</v>
      </c>
      <c r="H229" s="205">
        <v>0.0</v>
      </c>
      <c r="I229" s="202">
        <f t="shared" si="4"/>
        <v>1060005</v>
      </c>
      <c r="J229" s="213" t="s">
        <v>59</v>
      </c>
      <c r="K229" s="1"/>
    </row>
    <row r="230" ht="18.0" customHeight="1">
      <c r="A230" s="1"/>
      <c r="B230" s="52">
        <v>196.0</v>
      </c>
      <c r="C230" s="52" t="s">
        <v>511</v>
      </c>
      <c r="D230" s="208">
        <f t="shared" si="5"/>
        <v>1060005</v>
      </c>
      <c r="E230" s="208">
        <f t="shared" si="1"/>
        <v>57328</v>
      </c>
      <c r="F230" s="209">
        <f t="shared" si="2"/>
        <v>6448</v>
      </c>
      <c r="G230" s="210">
        <f t="shared" si="3"/>
        <v>50880</v>
      </c>
      <c r="H230" s="205">
        <v>0.0</v>
      </c>
      <c r="I230" s="208">
        <f t="shared" si="4"/>
        <v>1009125</v>
      </c>
      <c r="J230" s="212" t="s">
        <v>59</v>
      </c>
      <c r="K230" s="1"/>
    </row>
    <row r="231" ht="18.0" customHeight="1">
      <c r="A231" s="1"/>
      <c r="B231" s="37">
        <v>197.0</v>
      </c>
      <c r="C231" s="37" t="s">
        <v>512</v>
      </c>
      <c r="D231" s="202">
        <f t="shared" si="5"/>
        <v>1009125</v>
      </c>
      <c r="E231" s="202">
        <f t="shared" si="1"/>
        <v>57328</v>
      </c>
      <c r="F231" s="203">
        <f t="shared" si="2"/>
        <v>6139</v>
      </c>
      <c r="G231" s="204">
        <f t="shared" si="3"/>
        <v>51189</v>
      </c>
      <c r="H231" s="205">
        <v>0.0</v>
      </c>
      <c r="I231" s="202">
        <f t="shared" si="4"/>
        <v>957936</v>
      </c>
      <c r="J231" s="213" t="s">
        <v>59</v>
      </c>
      <c r="K231" s="1"/>
    </row>
    <row r="232" ht="18.0" customHeight="1">
      <c r="A232" s="1"/>
      <c r="B232" s="52">
        <v>198.0</v>
      </c>
      <c r="C232" s="52" t="s">
        <v>513</v>
      </c>
      <c r="D232" s="208">
        <f t="shared" si="5"/>
        <v>957936</v>
      </c>
      <c r="E232" s="208">
        <f t="shared" si="1"/>
        <v>57328</v>
      </c>
      <c r="F232" s="209">
        <f t="shared" si="2"/>
        <v>5827</v>
      </c>
      <c r="G232" s="210">
        <f t="shared" si="3"/>
        <v>51501</v>
      </c>
      <c r="H232" s="205">
        <v>0.0</v>
      </c>
      <c r="I232" s="208">
        <f t="shared" si="4"/>
        <v>906435</v>
      </c>
      <c r="J232" s="212" t="s">
        <v>59</v>
      </c>
      <c r="K232" s="1"/>
    </row>
    <row r="233" ht="18.0" customHeight="1">
      <c r="A233" s="1"/>
      <c r="B233" s="37">
        <v>199.0</v>
      </c>
      <c r="C233" s="37" t="s">
        <v>514</v>
      </c>
      <c r="D233" s="202">
        <f t="shared" si="5"/>
        <v>906435</v>
      </c>
      <c r="E233" s="202">
        <f t="shared" si="1"/>
        <v>57328</v>
      </c>
      <c r="F233" s="203">
        <f t="shared" si="2"/>
        <v>5514</v>
      </c>
      <c r="G233" s="204">
        <f t="shared" si="3"/>
        <v>51814</v>
      </c>
      <c r="H233" s="205">
        <v>0.0</v>
      </c>
      <c r="I233" s="202">
        <f t="shared" si="4"/>
        <v>854621</v>
      </c>
      <c r="J233" s="213" t="s">
        <v>59</v>
      </c>
      <c r="K233" s="1"/>
    </row>
    <row r="234" ht="18.0" customHeight="1">
      <c r="A234" s="1"/>
      <c r="B234" s="52">
        <v>200.0</v>
      </c>
      <c r="C234" s="52" t="s">
        <v>515</v>
      </c>
      <c r="D234" s="208">
        <f t="shared" si="5"/>
        <v>854621</v>
      </c>
      <c r="E234" s="208">
        <f t="shared" si="1"/>
        <v>57328</v>
      </c>
      <c r="F234" s="209">
        <f t="shared" si="2"/>
        <v>5199</v>
      </c>
      <c r="G234" s="210">
        <f t="shared" si="3"/>
        <v>52129</v>
      </c>
      <c r="H234" s="205">
        <v>0.0</v>
      </c>
      <c r="I234" s="208">
        <f t="shared" si="4"/>
        <v>802492</v>
      </c>
      <c r="J234" s="212" t="s">
        <v>59</v>
      </c>
      <c r="K234" s="1"/>
    </row>
    <row r="235" ht="18.0" customHeight="1">
      <c r="A235" s="1"/>
      <c r="B235" s="37">
        <v>201.0</v>
      </c>
      <c r="C235" s="37" t="s">
        <v>516</v>
      </c>
      <c r="D235" s="202">
        <f t="shared" si="5"/>
        <v>802492</v>
      </c>
      <c r="E235" s="202">
        <f t="shared" si="1"/>
        <v>57328</v>
      </c>
      <c r="F235" s="203">
        <f t="shared" si="2"/>
        <v>4882</v>
      </c>
      <c r="G235" s="204">
        <f t="shared" si="3"/>
        <v>52446</v>
      </c>
      <c r="H235" s="205">
        <v>0.0</v>
      </c>
      <c r="I235" s="202">
        <f t="shared" si="4"/>
        <v>750046</v>
      </c>
      <c r="J235" s="213" t="s">
        <v>59</v>
      </c>
      <c r="K235" s="1"/>
    </row>
    <row r="236" ht="18.0" customHeight="1">
      <c r="A236" s="1"/>
      <c r="B236" s="52">
        <v>202.0</v>
      </c>
      <c r="C236" s="52" t="s">
        <v>517</v>
      </c>
      <c r="D236" s="208">
        <f t="shared" si="5"/>
        <v>750046</v>
      </c>
      <c r="E236" s="208">
        <f t="shared" si="1"/>
        <v>57328</v>
      </c>
      <c r="F236" s="209">
        <f t="shared" si="2"/>
        <v>4563</v>
      </c>
      <c r="G236" s="210">
        <f t="shared" si="3"/>
        <v>52765</v>
      </c>
      <c r="H236" s="205">
        <v>0.0</v>
      </c>
      <c r="I236" s="208">
        <f t="shared" si="4"/>
        <v>697281</v>
      </c>
      <c r="J236" s="212" t="s">
        <v>59</v>
      </c>
      <c r="K236" s="1"/>
    </row>
    <row r="237" ht="18.0" customHeight="1">
      <c r="A237" s="1"/>
      <c r="B237" s="37">
        <v>203.0</v>
      </c>
      <c r="C237" s="37" t="s">
        <v>518</v>
      </c>
      <c r="D237" s="202">
        <f t="shared" si="5"/>
        <v>697281</v>
      </c>
      <c r="E237" s="202">
        <f t="shared" si="1"/>
        <v>57328</v>
      </c>
      <c r="F237" s="203">
        <f t="shared" si="2"/>
        <v>4242</v>
      </c>
      <c r="G237" s="204">
        <f t="shared" si="3"/>
        <v>53086</v>
      </c>
      <c r="H237" s="205">
        <v>0.0</v>
      </c>
      <c r="I237" s="202">
        <f t="shared" si="4"/>
        <v>644195</v>
      </c>
      <c r="J237" s="213" t="s">
        <v>59</v>
      </c>
      <c r="K237" s="1"/>
    </row>
    <row r="238" ht="18.0" customHeight="1">
      <c r="A238" s="1"/>
      <c r="B238" s="52">
        <v>204.0</v>
      </c>
      <c r="C238" s="52" t="s">
        <v>519</v>
      </c>
      <c r="D238" s="208">
        <f t="shared" si="5"/>
        <v>644195</v>
      </c>
      <c r="E238" s="208">
        <f t="shared" si="1"/>
        <v>57328</v>
      </c>
      <c r="F238" s="209">
        <f t="shared" si="2"/>
        <v>3919</v>
      </c>
      <c r="G238" s="210">
        <f t="shared" si="3"/>
        <v>53409</v>
      </c>
      <c r="H238" s="205">
        <v>0.0</v>
      </c>
      <c r="I238" s="208">
        <f t="shared" si="4"/>
        <v>590786</v>
      </c>
      <c r="J238" s="212" t="s">
        <v>59</v>
      </c>
      <c r="K238" s="1"/>
    </row>
    <row r="239" ht="18.0" customHeight="1">
      <c r="A239" s="1"/>
      <c r="B239" s="37">
        <v>205.0</v>
      </c>
      <c r="C239" s="37" t="s">
        <v>520</v>
      </c>
      <c r="D239" s="202">
        <f t="shared" si="5"/>
        <v>590786</v>
      </c>
      <c r="E239" s="202">
        <f t="shared" si="1"/>
        <v>57328</v>
      </c>
      <c r="F239" s="203">
        <f t="shared" si="2"/>
        <v>3594</v>
      </c>
      <c r="G239" s="204">
        <f t="shared" si="3"/>
        <v>53734</v>
      </c>
      <c r="H239" s="205">
        <v>0.0</v>
      </c>
      <c r="I239" s="202">
        <f t="shared" si="4"/>
        <v>537052</v>
      </c>
      <c r="J239" s="213" t="s">
        <v>59</v>
      </c>
      <c r="K239" s="1"/>
    </row>
    <row r="240" ht="18.0" customHeight="1">
      <c r="A240" s="1"/>
      <c r="B240" s="52">
        <v>206.0</v>
      </c>
      <c r="C240" s="52" t="s">
        <v>521</v>
      </c>
      <c r="D240" s="208">
        <f t="shared" si="5"/>
        <v>537052</v>
      </c>
      <c r="E240" s="208">
        <f t="shared" si="1"/>
        <v>57328</v>
      </c>
      <c r="F240" s="209">
        <f t="shared" si="2"/>
        <v>3267</v>
      </c>
      <c r="G240" s="210">
        <f t="shared" si="3"/>
        <v>54061</v>
      </c>
      <c r="H240" s="205">
        <v>0.0</v>
      </c>
      <c r="I240" s="208">
        <f t="shared" si="4"/>
        <v>482991</v>
      </c>
      <c r="J240" s="212" t="s">
        <v>59</v>
      </c>
      <c r="K240" s="1"/>
    </row>
    <row r="241" ht="18.0" customHeight="1">
      <c r="A241" s="1"/>
      <c r="B241" s="37">
        <v>207.0</v>
      </c>
      <c r="C241" s="37" t="s">
        <v>522</v>
      </c>
      <c r="D241" s="202">
        <f t="shared" si="5"/>
        <v>482991</v>
      </c>
      <c r="E241" s="202">
        <f t="shared" si="1"/>
        <v>57328</v>
      </c>
      <c r="F241" s="203">
        <f t="shared" si="2"/>
        <v>2938</v>
      </c>
      <c r="G241" s="204">
        <f t="shared" si="3"/>
        <v>54390</v>
      </c>
      <c r="H241" s="205">
        <v>0.0</v>
      </c>
      <c r="I241" s="202">
        <f t="shared" si="4"/>
        <v>428601</v>
      </c>
      <c r="J241" s="213" t="s">
        <v>59</v>
      </c>
      <c r="K241" s="1"/>
    </row>
    <row r="242" ht="18.0" customHeight="1">
      <c r="A242" s="1"/>
      <c r="B242" s="52">
        <v>208.0</v>
      </c>
      <c r="C242" s="52" t="s">
        <v>523</v>
      </c>
      <c r="D242" s="208">
        <f t="shared" si="5"/>
        <v>428601</v>
      </c>
      <c r="E242" s="208">
        <f t="shared" si="1"/>
        <v>57328</v>
      </c>
      <c r="F242" s="209">
        <f t="shared" si="2"/>
        <v>2607</v>
      </c>
      <c r="G242" s="210">
        <f t="shared" si="3"/>
        <v>54721</v>
      </c>
      <c r="H242" s="205">
        <v>0.0</v>
      </c>
      <c r="I242" s="208">
        <f t="shared" si="4"/>
        <v>373880</v>
      </c>
      <c r="J242" s="212" t="s">
        <v>59</v>
      </c>
      <c r="K242" s="1"/>
    </row>
    <row r="243" ht="18.0" customHeight="1">
      <c r="A243" s="1"/>
      <c r="B243" s="37">
        <v>209.0</v>
      </c>
      <c r="C243" s="37" t="s">
        <v>524</v>
      </c>
      <c r="D243" s="202">
        <f t="shared" si="5"/>
        <v>373880</v>
      </c>
      <c r="E243" s="202">
        <f t="shared" si="1"/>
        <v>57328</v>
      </c>
      <c r="F243" s="203">
        <f t="shared" si="2"/>
        <v>2274</v>
      </c>
      <c r="G243" s="204">
        <f t="shared" si="3"/>
        <v>55054</v>
      </c>
      <c r="H243" s="205">
        <v>0.0</v>
      </c>
      <c r="I243" s="202">
        <f t="shared" si="4"/>
        <v>318826</v>
      </c>
      <c r="J243" s="213" t="s">
        <v>59</v>
      </c>
      <c r="K243" s="1"/>
    </row>
    <row r="244" ht="18.0" customHeight="1">
      <c r="A244" s="1"/>
      <c r="B244" s="52">
        <v>210.0</v>
      </c>
      <c r="C244" s="52" t="s">
        <v>525</v>
      </c>
      <c r="D244" s="208">
        <f t="shared" si="5"/>
        <v>318826</v>
      </c>
      <c r="E244" s="208">
        <f t="shared" si="1"/>
        <v>57328</v>
      </c>
      <c r="F244" s="209">
        <f t="shared" si="2"/>
        <v>1940</v>
      </c>
      <c r="G244" s="210">
        <f t="shared" si="3"/>
        <v>55388</v>
      </c>
      <c r="H244" s="205">
        <v>0.0</v>
      </c>
      <c r="I244" s="208">
        <f t="shared" si="4"/>
        <v>263438</v>
      </c>
      <c r="J244" s="212" t="s">
        <v>59</v>
      </c>
      <c r="K244" s="1"/>
    </row>
    <row r="245" ht="18.0" customHeight="1">
      <c r="A245" s="1"/>
      <c r="B245" s="37">
        <v>211.0</v>
      </c>
      <c r="C245" s="37" t="s">
        <v>526</v>
      </c>
      <c r="D245" s="202">
        <f t="shared" si="5"/>
        <v>263438</v>
      </c>
      <c r="E245" s="202">
        <f t="shared" si="1"/>
        <v>57328</v>
      </c>
      <c r="F245" s="203">
        <f t="shared" si="2"/>
        <v>1603</v>
      </c>
      <c r="G245" s="204">
        <f t="shared" si="3"/>
        <v>55725</v>
      </c>
      <c r="H245" s="205">
        <v>0.0</v>
      </c>
      <c r="I245" s="202">
        <f t="shared" si="4"/>
        <v>207713</v>
      </c>
      <c r="J245" s="213" t="s">
        <v>59</v>
      </c>
      <c r="K245" s="1"/>
    </row>
    <row r="246" ht="18.0" customHeight="1">
      <c r="A246" s="1"/>
      <c r="B246" s="52">
        <v>212.0</v>
      </c>
      <c r="C246" s="52" t="s">
        <v>527</v>
      </c>
      <c r="D246" s="208">
        <f t="shared" si="5"/>
        <v>207713</v>
      </c>
      <c r="E246" s="208">
        <f t="shared" si="1"/>
        <v>57328</v>
      </c>
      <c r="F246" s="209">
        <f t="shared" si="2"/>
        <v>1264</v>
      </c>
      <c r="G246" s="210">
        <f t="shared" si="3"/>
        <v>56064</v>
      </c>
      <c r="H246" s="205">
        <v>0.0</v>
      </c>
      <c r="I246" s="208">
        <f t="shared" si="4"/>
        <v>151649</v>
      </c>
      <c r="J246" s="212" t="s">
        <v>59</v>
      </c>
      <c r="K246" s="1"/>
    </row>
    <row r="247" ht="18.0" customHeight="1">
      <c r="A247" s="1"/>
      <c r="B247" s="37">
        <v>213.0</v>
      </c>
      <c r="C247" s="37" t="s">
        <v>528</v>
      </c>
      <c r="D247" s="202">
        <f t="shared" si="5"/>
        <v>151649</v>
      </c>
      <c r="E247" s="202">
        <f t="shared" si="1"/>
        <v>57328</v>
      </c>
      <c r="F247" s="203">
        <f t="shared" si="2"/>
        <v>923</v>
      </c>
      <c r="G247" s="204">
        <f t="shared" si="3"/>
        <v>56405</v>
      </c>
      <c r="H247" s="205">
        <v>0.0</v>
      </c>
      <c r="I247" s="202">
        <f t="shared" si="4"/>
        <v>95244</v>
      </c>
      <c r="J247" s="213" t="s">
        <v>59</v>
      </c>
      <c r="K247" s="1"/>
    </row>
    <row r="248" ht="18.0" customHeight="1">
      <c r="A248" s="1"/>
      <c r="B248" s="52">
        <v>214.0</v>
      </c>
      <c r="C248" s="52" t="s">
        <v>529</v>
      </c>
      <c r="D248" s="208">
        <f t="shared" si="5"/>
        <v>95244</v>
      </c>
      <c r="E248" s="208">
        <f t="shared" si="1"/>
        <v>57328</v>
      </c>
      <c r="F248" s="209">
        <f t="shared" si="2"/>
        <v>579</v>
      </c>
      <c r="G248" s="210">
        <f t="shared" si="3"/>
        <v>56749</v>
      </c>
      <c r="H248" s="205">
        <v>0.0</v>
      </c>
      <c r="I248" s="208">
        <f t="shared" si="4"/>
        <v>38495</v>
      </c>
      <c r="J248" s="212" t="s">
        <v>59</v>
      </c>
      <c r="K248" s="1"/>
    </row>
    <row r="249" ht="18.0" customHeight="1">
      <c r="A249" s="1"/>
      <c r="B249" s="37">
        <v>215.0</v>
      </c>
      <c r="C249" s="37" t="s">
        <v>530</v>
      </c>
      <c r="D249" s="202">
        <f t="shared" si="5"/>
        <v>38495</v>
      </c>
      <c r="E249" s="202">
        <f t="shared" si="1"/>
        <v>38729</v>
      </c>
      <c r="F249" s="203">
        <f t="shared" si="2"/>
        <v>234</v>
      </c>
      <c r="G249" s="204">
        <f t="shared" si="3"/>
        <v>38495</v>
      </c>
      <c r="H249" s="205">
        <v>0.0</v>
      </c>
      <c r="I249" s="202">
        <f t="shared" si="4"/>
        <v>0</v>
      </c>
      <c r="J249" s="213" t="s">
        <v>59</v>
      </c>
      <c r="K249" s="1"/>
    </row>
    <row r="250" ht="18.0" customHeight="1">
      <c r="A250" s="1"/>
      <c r="B250" s="52">
        <v>216.0</v>
      </c>
      <c r="C250" s="52" t="s">
        <v>531</v>
      </c>
      <c r="D250" s="208">
        <f t="shared" si="5"/>
        <v>0</v>
      </c>
      <c r="E250" s="208">
        <f t="shared" si="1"/>
        <v>0</v>
      </c>
      <c r="F250" s="209">
        <f t="shared" si="2"/>
        <v>0</v>
      </c>
      <c r="G250" s="210">
        <f t="shared" si="3"/>
        <v>0</v>
      </c>
      <c r="H250" s="205">
        <v>0.0</v>
      </c>
      <c r="I250" s="208">
        <f t="shared" si="4"/>
        <v>0</v>
      </c>
      <c r="J250" s="212" t="s">
        <v>59</v>
      </c>
      <c r="K250" s="1"/>
    </row>
    <row r="251" ht="18.0" customHeight="1">
      <c r="A251" s="1"/>
      <c r="B251" s="37">
        <v>217.0</v>
      </c>
      <c r="C251" s="37" t="s">
        <v>532</v>
      </c>
      <c r="D251" s="202">
        <f t="shared" si="5"/>
        <v>0</v>
      </c>
      <c r="E251" s="202">
        <f t="shared" si="1"/>
        <v>0</v>
      </c>
      <c r="F251" s="203">
        <f t="shared" si="2"/>
        <v>0</v>
      </c>
      <c r="G251" s="204">
        <f t="shared" si="3"/>
        <v>0</v>
      </c>
      <c r="H251" s="205">
        <v>0.0</v>
      </c>
      <c r="I251" s="202">
        <f t="shared" si="4"/>
        <v>0</v>
      </c>
      <c r="J251" s="213" t="s">
        <v>59</v>
      </c>
      <c r="K251" s="1"/>
    </row>
    <row r="252" ht="18.0" customHeight="1">
      <c r="A252" s="1"/>
      <c r="B252" s="52">
        <v>218.0</v>
      </c>
      <c r="C252" s="52" t="s">
        <v>533</v>
      </c>
      <c r="D252" s="208">
        <f t="shared" si="5"/>
        <v>0</v>
      </c>
      <c r="E252" s="208">
        <f t="shared" si="1"/>
        <v>0</v>
      </c>
      <c r="F252" s="209">
        <f t="shared" si="2"/>
        <v>0</v>
      </c>
      <c r="G252" s="210">
        <f t="shared" si="3"/>
        <v>0</v>
      </c>
      <c r="H252" s="205">
        <v>0.0</v>
      </c>
      <c r="I252" s="208">
        <f t="shared" si="4"/>
        <v>0</v>
      </c>
      <c r="J252" s="212" t="s">
        <v>59</v>
      </c>
      <c r="K252" s="1"/>
    </row>
    <row r="253" ht="18.0" customHeight="1">
      <c r="A253" s="1"/>
      <c r="B253" s="37">
        <v>219.0</v>
      </c>
      <c r="C253" s="37" t="s">
        <v>534</v>
      </c>
      <c r="D253" s="202">
        <f t="shared" si="5"/>
        <v>0</v>
      </c>
      <c r="E253" s="202">
        <f t="shared" si="1"/>
        <v>0</v>
      </c>
      <c r="F253" s="203">
        <f t="shared" si="2"/>
        <v>0</v>
      </c>
      <c r="G253" s="204">
        <f t="shared" si="3"/>
        <v>0</v>
      </c>
      <c r="H253" s="205">
        <v>0.0</v>
      </c>
      <c r="I253" s="202">
        <f t="shared" si="4"/>
        <v>0</v>
      </c>
      <c r="J253" s="213" t="s">
        <v>59</v>
      </c>
      <c r="K253" s="1"/>
    </row>
    <row r="254" ht="18.0" customHeight="1">
      <c r="A254" s="1"/>
      <c r="B254" s="52">
        <v>220.0</v>
      </c>
      <c r="C254" s="52" t="s">
        <v>535</v>
      </c>
      <c r="D254" s="208">
        <f t="shared" si="5"/>
        <v>0</v>
      </c>
      <c r="E254" s="208">
        <f t="shared" si="1"/>
        <v>0</v>
      </c>
      <c r="F254" s="209">
        <f t="shared" si="2"/>
        <v>0</v>
      </c>
      <c r="G254" s="210">
        <f t="shared" si="3"/>
        <v>0</v>
      </c>
      <c r="H254" s="205">
        <v>0.0</v>
      </c>
      <c r="I254" s="208">
        <f t="shared" si="4"/>
        <v>0</v>
      </c>
      <c r="J254" s="212" t="s">
        <v>59</v>
      </c>
      <c r="K254" s="1"/>
    </row>
    <row r="255" ht="18.0" customHeight="1">
      <c r="A255" s="1"/>
      <c r="B255" s="37">
        <v>221.0</v>
      </c>
      <c r="C255" s="37" t="s">
        <v>536</v>
      </c>
      <c r="D255" s="202">
        <f t="shared" si="5"/>
        <v>0</v>
      </c>
      <c r="E255" s="202">
        <f t="shared" si="1"/>
        <v>0</v>
      </c>
      <c r="F255" s="203">
        <f t="shared" si="2"/>
        <v>0</v>
      </c>
      <c r="G255" s="204">
        <f t="shared" si="3"/>
        <v>0</v>
      </c>
      <c r="H255" s="205">
        <v>0.0</v>
      </c>
      <c r="I255" s="202">
        <f t="shared" si="4"/>
        <v>0</v>
      </c>
      <c r="J255" s="213" t="s">
        <v>59</v>
      </c>
      <c r="K255" s="1"/>
    </row>
    <row r="256" ht="18.0" customHeight="1">
      <c r="A256" s="1"/>
      <c r="B256" s="52">
        <v>222.0</v>
      </c>
      <c r="C256" s="52" t="s">
        <v>537</v>
      </c>
      <c r="D256" s="208">
        <f t="shared" si="5"/>
        <v>0</v>
      </c>
      <c r="E256" s="208">
        <f t="shared" si="1"/>
        <v>0</v>
      </c>
      <c r="F256" s="209">
        <f t="shared" si="2"/>
        <v>0</v>
      </c>
      <c r="G256" s="210">
        <f t="shared" si="3"/>
        <v>0</v>
      </c>
      <c r="H256" s="205">
        <v>0.0</v>
      </c>
      <c r="I256" s="208">
        <f t="shared" si="4"/>
        <v>0</v>
      </c>
      <c r="J256" s="212" t="s">
        <v>59</v>
      </c>
      <c r="K256" s="1"/>
    </row>
    <row r="257" ht="18.0" customHeight="1">
      <c r="A257" s="1"/>
      <c r="B257" s="37">
        <v>223.0</v>
      </c>
      <c r="C257" s="37" t="s">
        <v>538</v>
      </c>
      <c r="D257" s="202">
        <f t="shared" si="5"/>
        <v>0</v>
      </c>
      <c r="E257" s="202">
        <f t="shared" si="1"/>
        <v>0</v>
      </c>
      <c r="F257" s="203">
        <f t="shared" si="2"/>
        <v>0</v>
      </c>
      <c r="G257" s="204">
        <f t="shared" si="3"/>
        <v>0</v>
      </c>
      <c r="H257" s="205">
        <v>0.0</v>
      </c>
      <c r="I257" s="202">
        <f t="shared" si="4"/>
        <v>0</v>
      </c>
      <c r="J257" s="213" t="s">
        <v>59</v>
      </c>
      <c r="K257" s="1"/>
    </row>
    <row r="258" ht="18.0" customHeight="1">
      <c r="A258" s="1"/>
      <c r="B258" s="52">
        <v>224.0</v>
      </c>
      <c r="C258" s="52" t="s">
        <v>539</v>
      </c>
      <c r="D258" s="208">
        <f t="shared" si="5"/>
        <v>0</v>
      </c>
      <c r="E258" s="208">
        <f t="shared" si="1"/>
        <v>0</v>
      </c>
      <c r="F258" s="209">
        <f t="shared" si="2"/>
        <v>0</v>
      </c>
      <c r="G258" s="210">
        <f t="shared" si="3"/>
        <v>0</v>
      </c>
      <c r="H258" s="205">
        <v>0.0</v>
      </c>
      <c r="I258" s="208">
        <f t="shared" si="4"/>
        <v>0</v>
      </c>
      <c r="J258" s="212" t="s">
        <v>59</v>
      </c>
      <c r="K258" s="1"/>
    </row>
    <row r="259" ht="18.0" customHeight="1">
      <c r="A259" s="1"/>
      <c r="B259" s="37">
        <v>225.0</v>
      </c>
      <c r="C259" s="37" t="s">
        <v>540</v>
      </c>
      <c r="D259" s="202">
        <f t="shared" si="5"/>
        <v>0</v>
      </c>
      <c r="E259" s="202">
        <f t="shared" si="1"/>
        <v>0</v>
      </c>
      <c r="F259" s="203">
        <f t="shared" si="2"/>
        <v>0</v>
      </c>
      <c r="G259" s="204">
        <f t="shared" si="3"/>
        <v>0</v>
      </c>
      <c r="H259" s="205">
        <v>0.0</v>
      </c>
      <c r="I259" s="202">
        <f t="shared" si="4"/>
        <v>0</v>
      </c>
      <c r="J259" s="213" t="s">
        <v>59</v>
      </c>
      <c r="K259" s="1"/>
    </row>
    <row r="260" ht="18.0" customHeight="1">
      <c r="A260" s="1"/>
      <c r="B260" s="52">
        <v>226.0</v>
      </c>
      <c r="C260" s="52" t="s">
        <v>541</v>
      </c>
      <c r="D260" s="208">
        <f t="shared" si="5"/>
        <v>0</v>
      </c>
      <c r="E260" s="208">
        <f t="shared" si="1"/>
        <v>0</v>
      </c>
      <c r="F260" s="209">
        <f t="shared" si="2"/>
        <v>0</v>
      </c>
      <c r="G260" s="210">
        <f t="shared" si="3"/>
        <v>0</v>
      </c>
      <c r="H260" s="205">
        <v>0.0</v>
      </c>
      <c r="I260" s="208">
        <f t="shared" si="4"/>
        <v>0</v>
      </c>
      <c r="J260" s="212" t="s">
        <v>59</v>
      </c>
      <c r="K260" s="1"/>
    </row>
    <row r="261" ht="18.0" customHeight="1">
      <c r="A261" s="1"/>
      <c r="B261" s="37">
        <v>227.0</v>
      </c>
      <c r="C261" s="37" t="s">
        <v>542</v>
      </c>
      <c r="D261" s="202">
        <f t="shared" si="5"/>
        <v>0</v>
      </c>
      <c r="E261" s="202">
        <f t="shared" si="1"/>
        <v>0</v>
      </c>
      <c r="F261" s="203">
        <f t="shared" si="2"/>
        <v>0</v>
      </c>
      <c r="G261" s="204">
        <f t="shared" si="3"/>
        <v>0</v>
      </c>
      <c r="H261" s="205">
        <v>0.0</v>
      </c>
      <c r="I261" s="202">
        <f t="shared" si="4"/>
        <v>0</v>
      </c>
      <c r="J261" s="213" t="s">
        <v>59</v>
      </c>
      <c r="K261" s="1"/>
    </row>
    <row r="262" ht="18.0" customHeight="1">
      <c r="A262" s="1"/>
      <c r="B262" s="52">
        <v>228.0</v>
      </c>
      <c r="C262" s="52" t="s">
        <v>543</v>
      </c>
      <c r="D262" s="208">
        <f t="shared" si="5"/>
        <v>0</v>
      </c>
      <c r="E262" s="208">
        <f t="shared" si="1"/>
        <v>0</v>
      </c>
      <c r="F262" s="209">
        <f t="shared" si="2"/>
        <v>0</v>
      </c>
      <c r="G262" s="210">
        <f t="shared" si="3"/>
        <v>0</v>
      </c>
      <c r="H262" s="205">
        <v>0.0</v>
      </c>
      <c r="I262" s="208">
        <f t="shared" si="4"/>
        <v>0</v>
      </c>
      <c r="J262" s="212" t="s">
        <v>59</v>
      </c>
      <c r="K262" s="1"/>
    </row>
    <row r="263" ht="18.0" customHeight="1">
      <c r="A263" s="1"/>
      <c r="B263" s="37">
        <v>229.0</v>
      </c>
      <c r="C263" s="37" t="s">
        <v>544</v>
      </c>
      <c r="D263" s="202">
        <f t="shared" si="5"/>
        <v>0</v>
      </c>
      <c r="E263" s="202">
        <f t="shared" si="1"/>
        <v>0</v>
      </c>
      <c r="F263" s="203">
        <f t="shared" si="2"/>
        <v>0</v>
      </c>
      <c r="G263" s="204">
        <f t="shared" si="3"/>
        <v>0</v>
      </c>
      <c r="H263" s="205">
        <v>0.0</v>
      </c>
      <c r="I263" s="202">
        <f t="shared" si="4"/>
        <v>0</v>
      </c>
      <c r="J263" s="213" t="s">
        <v>59</v>
      </c>
      <c r="K263" s="1"/>
    </row>
    <row r="264" ht="18.0" customHeight="1">
      <c r="A264" s="1"/>
      <c r="B264" s="52">
        <v>230.0</v>
      </c>
      <c r="C264" s="52" t="s">
        <v>545</v>
      </c>
      <c r="D264" s="208">
        <f t="shared" si="5"/>
        <v>0</v>
      </c>
      <c r="E264" s="208">
        <f t="shared" si="1"/>
        <v>0</v>
      </c>
      <c r="F264" s="209">
        <f t="shared" si="2"/>
        <v>0</v>
      </c>
      <c r="G264" s="210">
        <f t="shared" si="3"/>
        <v>0</v>
      </c>
      <c r="H264" s="205">
        <v>0.0</v>
      </c>
      <c r="I264" s="208">
        <f t="shared" si="4"/>
        <v>0</v>
      </c>
      <c r="J264" s="212" t="s">
        <v>59</v>
      </c>
      <c r="K264" s="1"/>
    </row>
    <row r="265" ht="18.0" customHeight="1">
      <c r="A265" s="1"/>
      <c r="B265" s="37">
        <v>231.0</v>
      </c>
      <c r="C265" s="37" t="s">
        <v>546</v>
      </c>
      <c r="D265" s="202">
        <f t="shared" si="5"/>
        <v>0</v>
      </c>
      <c r="E265" s="202">
        <f t="shared" si="1"/>
        <v>0</v>
      </c>
      <c r="F265" s="203">
        <f t="shared" si="2"/>
        <v>0</v>
      </c>
      <c r="G265" s="204">
        <f t="shared" si="3"/>
        <v>0</v>
      </c>
      <c r="H265" s="205">
        <v>0.0</v>
      </c>
      <c r="I265" s="202">
        <f t="shared" si="4"/>
        <v>0</v>
      </c>
      <c r="J265" s="213" t="s">
        <v>59</v>
      </c>
      <c r="K265" s="1"/>
    </row>
    <row r="266" ht="18.0" customHeight="1">
      <c r="A266" s="1"/>
      <c r="B266" s="52">
        <v>232.0</v>
      </c>
      <c r="C266" s="52" t="s">
        <v>547</v>
      </c>
      <c r="D266" s="208">
        <f t="shared" si="5"/>
        <v>0</v>
      </c>
      <c r="E266" s="208">
        <f t="shared" si="1"/>
        <v>0</v>
      </c>
      <c r="F266" s="209">
        <f t="shared" si="2"/>
        <v>0</v>
      </c>
      <c r="G266" s="210">
        <f t="shared" si="3"/>
        <v>0</v>
      </c>
      <c r="H266" s="205">
        <v>0.0</v>
      </c>
      <c r="I266" s="208">
        <f t="shared" si="4"/>
        <v>0</v>
      </c>
      <c r="J266" s="212" t="s">
        <v>59</v>
      </c>
      <c r="K266" s="1"/>
    </row>
    <row r="267" ht="18.0" customHeight="1">
      <c r="A267" s="1"/>
      <c r="B267" s="37">
        <v>233.0</v>
      </c>
      <c r="C267" s="37" t="s">
        <v>548</v>
      </c>
      <c r="D267" s="202">
        <f t="shared" si="5"/>
        <v>0</v>
      </c>
      <c r="E267" s="202">
        <f t="shared" si="1"/>
        <v>0</v>
      </c>
      <c r="F267" s="203">
        <f t="shared" si="2"/>
        <v>0</v>
      </c>
      <c r="G267" s="204">
        <f t="shared" si="3"/>
        <v>0</v>
      </c>
      <c r="H267" s="205">
        <v>0.0</v>
      </c>
      <c r="I267" s="202">
        <f t="shared" si="4"/>
        <v>0</v>
      </c>
      <c r="J267" s="213" t="s">
        <v>59</v>
      </c>
      <c r="K267" s="1"/>
    </row>
    <row r="268" ht="18.0" customHeight="1">
      <c r="A268" s="1"/>
      <c r="B268" s="52">
        <v>234.0</v>
      </c>
      <c r="C268" s="52" t="s">
        <v>549</v>
      </c>
      <c r="D268" s="208">
        <f t="shared" si="5"/>
        <v>0</v>
      </c>
      <c r="E268" s="208">
        <f t="shared" si="1"/>
        <v>0</v>
      </c>
      <c r="F268" s="209">
        <f t="shared" si="2"/>
        <v>0</v>
      </c>
      <c r="G268" s="210">
        <f t="shared" si="3"/>
        <v>0</v>
      </c>
      <c r="H268" s="205">
        <v>0.0</v>
      </c>
      <c r="I268" s="208">
        <f t="shared" si="4"/>
        <v>0</v>
      </c>
      <c r="J268" s="212" t="s">
        <v>59</v>
      </c>
      <c r="K268" s="1"/>
    </row>
    <row r="269" ht="18.0" customHeight="1">
      <c r="A269" s="1"/>
      <c r="B269" s="37">
        <v>235.0</v>
      </c>
      <c r="C269" s="37" t="s">
        <v>550</v>
      </c>
      <c r="D269" s="202">
        <f t="shared" si="5"/>
        <v>0</v>
      </c>
      <c r="E269" s="202">
        <f t="shared" si="1"/>
        <v>0</v>
      </c>
      <c r="F269" s="203">
        <f t="shared" si="2"/>
        <v>0</v>
      </c>
      <c r="G269" s="204">
        <f t="shared" si="3"/>
        <v>0</v>
      </c>
      <c r="H269" s="205">
        <v>0.0</v>
      </c>
      <c r="I269" s="202">
        <f t="shared" si="4"/>
        <v>0</v>
      </c>
      <c r="J269" s="213" t="s">
        <v>59</v>
      </c>
      <c r="K269" s="1"/>
    </row>
    <row r="270" ht="18.0" customHeight="1">
      <c r="A270" s="1"/>
      <c r="B270" s="52">
        <v>236.0</v>
      </c>
      <c r="C270" s="52" t="s">
        <v>551</v>
      </c>
      <c r="D270" s="208">
        <f t="shared" si="5"/>
        <v>0</v>
      </c>
      <c r="E270" s="208">
        <f t="shared" si="1"/>
        <v>0</v>
      </c>
      <c r="F270" s="209">
        <f t="shared" si="2"/>
        <v>0</v>
      </c>
      <c r="G270" s="210">
        <f t="shared" si="3"/>
        <v>0</v>
      </c>
      <c r="H270" s="205">
        <v>0.0</v>
      </c>
      <c r="I270" s="208">
        <f t="shared" si="4"/>
        <v>0</v>
      </c>
      <c r="J270" s="212" t="s">
        <v>59</v>
      </c>
      <c r="K270" s="1"/>
    </row>
    <row r="271" ht="18.0" customHeight="1">
      <c r="A271" s="1"/>
      <c r="B271" s="37">
        <v>237.0</v>
      </c>
      <c r="C271" s="37" t="s">
        <v>552</v>
      </c>
      <c r="D271" s="202">
        <f t="shared" si="5"/>
        <v>0</v>
      </c>
      <c r="E271" s="202">
        <f t="shared" si="1"/>
        <v>0</v>
      </c>
      <c r="F271" s="203">
        <f t="shared" si="2"/>
        <v>0</v>
      </c>
      <c r="G271" s="204">
        <f t="shared" si="3"/>
        <v>0</v>
      </c>
      <c r="H271" s="205">
        <v>0.0</v>
      </c>
      <c r="I271" s="202">
        <f t="shared" si="4"/>
        <v>0</v>
      </c>
      <c r="J271" s="213" t="s">
        <v>59</v>
      </c>
      <c r="K271" s="1"/>
    </row>
    <row r="272" ht="18.0" customHeight="1">
      <c r="A272" s="1"/>
      <c r="B272" s="52">
        <v>238.0</v>
      </c>
      <c r="C272" s="52" t="s">
        <v>553</v>
      </c>
      <c r="D272" s="208">
        <f t="shared" si="5"/>
        <v>0</v>
      </c>
      <c r="E272" s="208">
        <f t="shared" si="1"/>
        <v>0</v>
      </c>
      <c r="F272" s="209">
        <f t="shared" si="2"/>
        <v>0</v>
      </c>
      <c r="G272" s="210">
        <f t="shared" si="3"/>
        <v>0</v>
      </c>
      <c r="H272" s="205">
        <v>0.0</v>
      </c>
      <c r="I272" s="208">
        <f t="shared" si="4"/>
        <v>0</v>
      </c>
      <c r="J272" s="212" t="s">
        <v>59</v>
      </c>
      <c r="K272" s="1"/>
    </row>
    <row r="273" ht="18.0" customHeight="1">
      <c r="A273" s="1"/>
      <c r="B273" s="37">
        <v>239.0</v>
      </c>
      <c r="C273" s="37" t="s">
        <v>554</v>
      </c>
      <c r="D273" s="202">
        <f t="shared" si="5"/>
        <v>0</v>
      </c>
      <c r="E273" s="202">
        <f t="shared" si="1"/>
        <v>0</v>
      </c>
      <c r="F273" s="203">
        <f t="shared" si="2"/>
        <v>0</v>
      </c>
      <c r="G273" s="204">
        <f t="shared" si="3"/>
        <v>0</v>
      </c>
      <c r="H273" s="205">
        <v>0.0</v>
      </c>
      <c r="I273" s="202">
        <f t="shared" si="4"/>
        <v>0</v>
      </c>
      <c r="J273" s="213" t="s">
        <v>59</v>
      </c>
      <c r="K273" s="1"/>
    </row>
    <row r="274" ht="18.0" customHeight="1">
      <c r="A274" s="1"/>
      <c r="B274" s="52">
        <v>240.0</v>
      </c>
      <c r="C274" s="52" t="s">
        <v>555</v>
      </c>
      <c r="D274" s="208">
        <f t="shared" si="5"/>
        <v>0</v>
      </c>
      <c r="E274" s="208">
        <f t="shared" si="1"/>
        <v>0</v>
      </c>
      <c r="F274" s="209">
        <f t="shared" si="2"/>
        <v>0</v>
      </c>
      <c r="G274" s="210">
        <f t="shared" si="3"/>
        <v>0</v>
      </c>
      <c r="H274" s="205">
        <v>0.0</v>
      </c>
      <c r="I274" s="208">
        <f t="shared" si="4"/>
        <v>0</v>
      </c>
      <c r="J274" s="212" t="s">
        <v>59</v>
      </c>
      <c r="K274" s="1"/>
    </row>
    <row r="275" ht="18.0" customHeight="1">
      <c r="A275" s="1"/>
      <c r="B275" s="37">
        <v>241.0</v>
      </c>
      <c r="C275" s="37" t="s">
        <v>556</v>
      </c>
      <c r="D275" s="202">
        <f t="shared" si="5"/>
        <v>0</v>
      </c>
      <c r="E275" s="202">
        <f t="shared" si="1"/>
        <v>0</v>
      </c>
      <c r="F275" s="203">
        <f t="shared" si="2"/>
        <v>0</v>
      </c>
      <c r="G275" s="204">
        <f t="shared" si="3"/>
        <v>0</v>
      </c>
      <c r="H275" s="205">
        <v>0.0</v>
      </c>
      <c r="I275" s="202">
        <f t="shared" si="4"/>
        <v>0</v>
      </c>
      <c r="J275" s="213" t="s">
        <v>59</v>
      </c>
      <c r="K275" s="1"/>
    </row>
    <row r="276" ht="18.0" customHeight="1">
      <c r="A276" s="1"/>
      <c r="B276" s="52">
        <v>242.0</v>
      </c>
      <c r="C276" s="52" t="s">
        <v>557</v>
      </c>
      <c r="D276" s="208">
        <f t="shared" si="5"/>
        <v>0</v>
      </c>
      <c r="E276" s="208">
        <f t="shared" si="1"/>
        <v>0</v>
      </c>
      <c r="F276" s="209">
        <f t="shared" si="2"/>
        <v>0</v>
      </c>
      <c r="G276" s="210">
        <f t="shared" si="3"/>
        <v>0</v>
      </c>
      <c r="H276" s="205">
        <v>0.0</v>
      </c>
      <c r="I276" s="208">
        <f t="shared" si="4"/>
        <v>0</v>
      </c>
      <c r="J276" s="212" t="s">
        <v>59</v>
      </c>
      <c r="K276" s="1"/>
    </row>
    <row r="277" ht="18.0" customHeight="1">
      <c r="A277" s="1"/>
      <c r="B277" s="37">
        <v>243.0</v>
      </c>
      <c r="C277" s="37" t="s">
        <v>558</v>
      </c>
      <c r="D277" s="202">
        <f t="shared" si="5"/>
        <v>0</v>
      </c>
      <c r="E277" s="202">
        <f t="shared" si="1"/>
        <v>0</v>
      </c>
      <c r="F277" s="203">
        <f t="shared" si="2"/>
        <v>0</v>
      </c>
      <c r="G277" s="204">
        <f t="shared" si="3"/>
        <v>0</v>
      </c>
      <c r="H277" s="205">
        <v>0.0</v>
      </c>
      <c r="I277" s="202">
        <f t="shared" si="4"/>
        <v>0</v>
      </c>
      <c r="J277" s="213" t="s">
        <v>59</v>
      </c>
      <c r="K277" s="1"/>
    </row>
    <row r="278" ht="18.0" customHeight="1">
      <c r="A278" s="1"/>
      <c r="B278" s="52">
        <v>244.0</v>
      </c>
      <c r="C278" s="52" t="s">
        <v>559</v>
      </c>
      <c r="D278" s="208">
        <f t="shared" si="5"/>
        <v>0</v>
      </c>
      <c r="E278" s="208">
        <f t="shared" si="1"/>
        <v>0</v>
      </c>
      <c r="F278" s="209">
        <f t="shared" si="2"/>
        <v>0</v>
      </c>
      <c r="G278" s="210">
        <f t="shared" si="3"/>
        <v>0</v>
      </c>
      <c r="H278" s="205">
        <v>0.0</v>
      </c>
      <c r="I278" s="208">
        <f t="shared" si="4"/>
        <v>0</v>
      </c>
      <c r="J278" s="212" t="s">
        <v>59</v>
      </c>
      <c r="K278" s="1"/>
    </row>
    <row r="279" ht="18.0" customHeight="1">
      <c r="A279" s="1"/>
      <c r="B279" s="37">
        <v>245.0</v>
      </c>
      <c r="C279" s="37" t="s">
        <v>560</v>
      </c>
      <c r="D279" s="202">
        <f t="shared" si="5"/>
        <v>0</v>
      </c>
      <c r="E279" s="202">
        <f t="shared" si="1"/>
        <v>0</v>
      </c>
      <c r="F279" s="203">
        <f t="shared" si="2"/>
        <v>0</v>
      </c>
      <c r="G279" s="204">
        <f t="shared" si="3"/>
        <v>0</v>
      </c>
      <c r="H279" s="205">
        <v>0.0</v>
      </c>
      <c r="I279" s="202">
        <f t="shared" si="4"/>
        <v>0</v>
      </c>
      <c r="J279" s="213" t="s">
        <v>59</v>
      </c>
      <c r="K279" s="1"/>
    </row>
    <row r="280" ht="18.0" customHeight="1">
      <c r="A280" s="1"/>
      <c r="B280" s="52">
        <v>246.0</v>
      </c>
      <c r="C280" s="52" t="s">
        <v>561</v>
      </c>
      <c r="D280" s="208">
        <f t="shared" si="5"/>
        <v>0</v>
      </c>
      <c r="E280" s="208">
        <f t="shared" si="1"/>
        <v>0</v>
      </c>
      <c r="F280" s="209">
        <f t="shared" si="2"/>
        <v>0</v>
      </c>
      <c r="G280" s="210">
        <f t="shared" si="3"/>
        <v>0</v>
      </c>
      <c r="H280" s="205">
        <v>0.0</v>
      </c>
      <c r="I280" s="208">
        <f t="shared" si="4"/>
        <v>0</v>
      </c>
      <c r="J280" s="212" t="s">
        <v>59</v>
      </c>
      <c r="K280" s="1"/>
    </row>
    <row r="281" ht="18.0" customHeight="1">
      <c r="A281" s="1"/>
      <c r="B281" s="37">
        <v>247.0</v>
      </c>
      <c r="C281" s="37" t="s">
        <v>562</v>
      </c>
      <c r="D281" s="202">
        <f t="shared" si="5"/>
        <v>0</v>
      </c>
      <c r="E281" s="202">
        <f t="shared" si="1"/>
        <v>0</v>
      </c>
      <c r="F281" s="203">
        <f t="shared" si="2"/>
        <v>0</v>
      </c>
      <c r="G281" s="204">
        <f t="shared" si="3"/>
        <v>0</v>
      </c>
      <c r="H281" s="205">
        <v>0.0</v>
      </c>
      <c r="I281" s="202">
        <f t="shared" si="4"/>
        <v>0</v>
      </c>
      <c r="J281" s="213" t="s">
        <v>59</v>
      </c>
      <c r="K281" s="1"/>
    </row>
    <row r="282" ht="18.0" customHeight="1">
      <c r="A282" s="1"/>
      <c r="B282" s="52">
        <v>248.0</v>
      </c>
      <c r="C282" s="52" t="s">
        <v>563</v>
      </c>
      <c r="D282" s="208">
        <f t="shared" si="5"/>
        <v>0</v>
      </c>
      <c r="E282" s="208">
        <f t="shared" si="1"/>
        <v>0</v>
      </c>
      <c r="F282" s="209">
        <f t="shared" si="2"/>
        <v>0</v>
      </c>
      <c r="G282" s="210">
        <f t="shared" si="3"/>
        <v>0</v>
      </c>
      <c r="H282" s="205">
        <v>0.0</v>
      </c>
      <c r="I282" s="208">
        <f t="shared" si="4"/>
        <v>0</v>
      </c>
      <c r="J282" s="212" t="s">
        <v>59</v>
      </c>
      <c r="K282" s="1"/>
    </row>
    <row r="283" ht="18.0" customHeight="1">
      <c r="A283" s="1"/>
      <c r="B283" s="37">
        <v>249.0</v>
      </c>
      <c r="C283" s="37" t="s">
        <v>564</v>
      </c>
      <c r="D283" s="202">
        <f t="shared" si="5"/>
        <v>0</v>
      </c>
      <c r="E283" s="202">
        <f t="shared" si="1"/>
        <v>0</v>
      </c>
      <c r="F283" s="203">
        <f t="shared" si="2"/>
        <v>0</v>
      </c>
      <c r="G283" s="204">
        <f t="shared" si="3"/>
        <v>0</v>
      </c>
      <c r="H283" s="205">
        <v>0.0</v>
      </c>
      <c r="I283" s="202">
        <f t="shared" si="4"/>
        <v>0</v>
      </c>
      <c r="J283" s="213" t="s">
        <v>59</v>
      </c>
      <c r="K283" s="1"/>
    </row>
    <row r="284" ht="18.0" customHeight="1">
      <c r="A284" s="1"/>
      <c r="B284" s="52">
        <v>250.0</v>
      </c>
      <c r="C284" s="52" t="s">
        <v>565</v>
      </c>
      <c r="D284" s="208">
        <f t="shared" si="5"/>
        <v>0</v>
      </c>
      <c r="E284" s="208">
        <f t="shared" si="1"/>
        <v>0</v>
      </c>
      <c r="F284" s="209">
        <f t="shared" si="2"/>
        <v>0</v>
      </c>
      <c r="G284" s="210">
        <f t="shared" si="3"/>
        <v>0</v>
      </c>
      <c r="H284" s="205">
        <v>0.0</v>
      </c>
      <c r="I284" s="208">
        <f t="shared" si="4"/>
        <v>0</v>
      </c>
      <c r="J284" s="212" t="s">
        <v>59</v>
      </c>
      <c r="K284" s="1"/>
    </row>
    <row r="285" ht="18.0" customHeight="1">
      <c r="A285" s="1"/>
      <c r="B285" s="37">
        <v>251.0</v>
      </c>
      <c r="C285" s="37" t="s">
        <v>566</v>
      </c>
      <c r="D285" s="202">
        <f t="shared" si="5"/>
        <v>0</v>
      </c>
      <c r="E285" s="202">
        <f t="shared" si="1"/>
        <v>0</v>
      </c>
      <c r="F285" s="203">
        <f t="shared" si="2"/>
        <v>0</v>
      </c>
      <c r="G285" s="204">
        <f t="shared" si="3"/>
        <v>0</v>
      </c>
      <c r="H285" s="205">
        <v>0.0</v>
      </c>
      <c r="I285" s="202">
        <f t="shared" si="4"/>
        <v>0</v>
      </c>
      <c r="J285" s="213" t="s">
        <v>59</v>
      </c>
      <c r="K285" s="1"/>
    </row>
    <row r="286" ht="18.0" customHeight="1">
      <c r="A286" s="1"/>
      <c r="B286" s="52">
        <v>252.0</v>
      </c>
      <c r="C286" s="52" t="s">
        <v>567</v>
      </c>
      <c r="D286" s="208">
        <f t="shared" si="5"/>
        <v>0</v>
      </c>
      <c r="E286" s="208">
        <f t="shared" si="1"/>
        <v>0</v>
      </c>
      <c r="F286" s="209">
        <f t="shared" si="2"/>
        <v>0</v>
      </c>
      <c r="G286" s="210">
        <f t="shared" si="3"/>
        <v>0</v>
      </c>
      <c r="H286" s="205">
        <v>0.0</v>
      </c>
      <c r="I286" s="208">
        <f t="shared" si="4"/>
        <v>0</v>
      </c>
      <c r="J286" s="212" t="s">
        <v>59</v>
      </c>
      <c r="K286" s="1"/>
    </row>
    <row r="287" ht="18.0" customHeight="1">
      <c r="A287" s="1"/>
      <c r="B287" s="37">
        <v>253.0</v>
      </c>
      <c r="C287" s="37" t="s">
        <v>568</v>
      </c>
      <c r="D287" s="202">
        <f t="shared" si="5"/>
        <v>0</v>
      </c>
      <c r="E287" s="202">
        <f t="shared" si="1"/>
        <v>0</v>
      </c>
      <c r="F287" s="203">
        <f t="shared" si="2"/>
        <v>0</v>
      </c>
      <c r="G287" s="204">
        <f t="shared" si="3"/>
        <v>0</v>
      </c>
      <c r="H287" s="205">
        <v>0.0</v>
      </c>
      <c r="I287" s="202">
        <f t="shared" si="4"/>
        <v>0</v>
      </c>
      <c r="J287" s="213" t="s">
        <v>59</v>
      </c>
      <c r="K287" s="1"/>
    </row>
    <row r="288" ht="18.0" customHeight="1">
      <c r="A288" s="1"/>
      <c r="B288" s="52">
        <v>254.0</v>
      </c>
      <c r="C288" s="52" t="s">
        <v>569</v>
      </c>
      <c r="D288" s="208">
        <f t="shared" si="5"/>
        <v>0</v>
      </c>
      <c r="E288" s="208">
        <f t="shared" si="1"/>
        <v>0</v>
      </c>
      <c r="F288" s="209">
        <f t="shared" si="2"/>
        <v>0</v>
      </c>
      <c r="G288" s="210">
        <f t="shared" si="3"/>
        <v>0</v>
      </c>
      <c r="H288" s="205">
        <v>0.0</v>
      </c>
      <c r="I288" s="208">
        <f t="shared" si="4"/>
        <v>0</v>
      </c>
      <c r="J288" s="212" t="s">
        <v>59</v>
      </c>
      <c r="K288" s="1"/>
    </row>
    <row r="289" ht="18.0" customHeight="1">
      <c r="A289" s="1"/>
      <c r="B289" s="37">
        <v>255.0</v>
      </c>
      <c r="C289" s="37" t="s">
        <v>570</v>
      </c>
      <c r="D289" s="202">
        <f t="shared" si="5"/>
        <v>0</v>
      </c>
      <c r="E289" s="202">
        <f t="shared" si="1"/>
        <v>0</v>
      </c>
      <c r="F289" s="203">
        <f t="shared" si="2"/>
        <v>0</v>
      </c>
      <c r="G289" s="204">
        <f t="shared" si="3"/>
        <v>0</v>
      </c>
      <c r="H289" s="205">
        <v>0.0</v>
      </c>
      <c r="I289" s="202">
        <f t="shared" si="4"/>
        <v>0</v>
      </c>
      <c r="J289" s="213" t="s">
        <v>59</v>
      </c>
      <c r="K289" s="1"/>
    </row>
    <row r="290" ht="18.0" customHeight="1">
      <c r="A290" s="1"/>
      <c r="B290" s="52">
        <v>256.0</v>
      </c>
      <c r="C290" s="52" t="s">
        <v>571</v>
      </c>
      <c r="D290" s="208">
        <f t="shared" si="5"/>
        <v>0</v>
      </c>
      <c r="E290" s="208">
        <f t="shared" si="1"/>
        <v>0</v>
      </c>
      <c r="F290" s="209">
        <f t="shared" si="2"/>
        <v>0</v>
      </c>
      <c r="G290" s="210">
        <f t="shared" si="3"/>
        <v>0</v>
      </c>
      <c r="H290" s="205">
        <v>0.0</v>
      </c>
      <c r="I290" s="208">
        <f t="shared" si="4"/>
        <v>0</v>
      </c>
      <c r="J290" s="212" t="s">
        <v>59</v>
      </c>
      <c r="K290" s="1"/>
    </row>
    <row r="291" ht="18.0" customHeight="1">
      <c r="A291" s="1"/>
      <c r="B291" s="37">
        <v>257.0</v>
      </c>
      <c r="C291" s="37" t="s">
        <v>572</v>
      </c>
      <c r="D291" s="202">
        <f t="shared" si="5"/>
        <v>0</v>
      </c>
      <c r="E291" s="202">
        <f t="shared" si="1"/>
        <v>0</v>
      </c>
      <c r="F291" s="203">
        <f t="shared" si="2"/>
        <v>0</v>
      </c>
      <c r="G291" s="204">
        <f t="shared" si="3"/>
        <v>0</v>
      </c>
      <c r="H291" s="205">
        <v>0.0</v>
      </c>
      <c r="I291" s="202">
        <f t="shared" si="4"/>
        <v>0</v>
      </c>
      <c r="J291" s="213" t="s">
        <v>59</v>
      </c>
      <c r="K291" s="1"/>
    </row>
    <row r="292" ht="18.0" customHeight="1">
      <c r="A292" s="1"/>
      <c r="B292" s="52">
        <v>258.0</v>
      </c>
      <c r="C292" s="52" t="s">
        <v>573</v>
      </c>
      <c r="D292" s="208">
        <f t="shared" si="5"/>
        <v>0</v>
      </c>
      <c r="E292" s="208">
        <f t="shared" si="1"/>
        <v>0</v>
      </c>
      <c r="F292" s="209">
        <f t="shared" si="2"/>
        <v>0</v>
      </c>
      <c r="G292" s="210">
        <f t="shared" si="3"/>
        <v>0</v>
      </c>
      <c r="H292" s="205">
        <v>0.0</v>
      </c>
      <c r="I292" s="208">
        <f t="shared" si="4"/>
        <v>0</v>
      </c>
      <c r="J292" s="212" t="s">
        <v>59</v>
      </c>
      <c r="K292" s="1"/>
    </row>
    <row r="293" ht="18.0" customHeight="1">
      <c r="A293" s="1"/>
      <c r="B293" s="37">
        <v>259.0</v>
      </c>
      <c r="C293" s="37" t="s">
        <v>574</v>
      </c>
      <c r="D293" s="202">
        <f t="shared" si="5"/>
        <v>0</v>
      </c>
      <c r="E293" s="202">
        <f t="shared" si="1"/>
        <v>0</v>
      </c>
      <c r="F293" s="203">
        <f t="shared" si="2"/>
        <v>0</v>
      </c>
      <c r="G293" s="204">
        <f t="shared" si="3"/>
        <v>0</v>
      </c>
      <c r="H293" s="205">
        <v>0.0</v>
      </c>
      <c r="I293" s="202">
        <f t="shared" si="4"/>
        <v>0</v>
      </c>
      <c r="J293" s="213" t="s">
        <v>59</v>
      </c>
      <c r="K293" s="1"/>
    </row>
    <row r="294" ht="18.0" customHeight="1">
      <c r="A294" s="1"/>
      <c r="B294" s="52">
        <v>260.0</v>
      </c>
      <c r="C294" s="52" t="s">
        <v>575</v>
      </c>
      <c r="D294" s="208">
        <f t="shared" si="5"/>
        <v>0</v>
      </c>
      <c r="E294" s="208">
        <f t="shared" si="1"/>
        <v>0</v>
      </c>
      <c r="F294" s="209">
        <f t="shared" si="2"/>
        <v>0</v>
      </c>
      <c r="G294" s="210">
        <f t="shared" si="3"/>
        <v>0</v>
      </c>
      <c r="H294" s="205">
        <v>0.0</v>
      </c>
      <c r="I294" s="208">
        <f t="shared" si="4"/>
        <v>0</v>
      </c>
      <c r="J294" s="212" t="s">
        <v>59</v>
      </c>
      <c r="K294" s="1"/>
    </row>
    <row r="295" ht="18.0" customHeight="1">
      <c r="A295" s="1"/>
      <c r="B295" s="37">
        <v>261.0</v>
      </c>
      <c r="C295" s="37" t="s">
        <v>576</v>
      </c>
      <c r="D295" s="202">
        <f t="shared" si="5"/>
        <v>0</v>
      </c>
      <c r="E295" s="202">
        <f t="shared" si="1"/>
        <v>0</v>
      </c>
      <c r="F295" s="203">
        <f t="shared" si="2"/>
        <v>0</v>
      </c>
      <c r="G295" s="204">
        <f t="shared" si="3"/>
        <v>0</v>
      </c>
      <c r="H295" s="205">
        <v>0.0</v>
      </c>
      <c r="I295" s="202">
        <f t="shared" si="4"/>
        <v>0</v>
      </c>
      <c r="J295" s="213" t="s">
        <v>59</v>
      </c>
      <c r="K295" s="1"/>
    </row>
    <row r="296" ht="18.0" customHeight="1">
      <c r="A296" s="1"/>
      <c r="B296" s="52">
        <v>262.0</v>
      </c>
      <c r="C296" s="52" t="s">
        <v>577</v>
      </c>
      <c r="D296" s="208">
        <f t="shared" si="5"/>
        <v>0</v>
      </c>
      <c r="E296" s="208">
        <f t="shared" si="1"/>
        <v>0</v>
      </c>
      <c r="F296" s="209">
        <f t="shared" si="2"/>
        <v>0</v>
      </c>
      <c r="G296" s="210">
        <f t="shared" si="3"/>
        <v>0</v>
      </c>
      <c r="H296" s="205">
        <v>0.0</v>
      </c>
      <c r="I296" s="208">
        <f t="shared" si="4"/>
        <v>0</v>
      </c>
      <c r="J296" s="212" t="s">
        <v>59</v>
      </c>
      <c r="K296" s="1"/>
    </row>
    <row r="297" ht="18.0" customHeight="1">
      <c r="A297" s="1"/>
      <c r="B297" s="37">
        <v>263.0</v>
      </c>
      <c r="C297" s="37" t="s">
        <v>578</v>
      </c>
      <c r="D297" s="202">
        <f t="shared" si="5"/>
        <v>0</v>
      </c>
      <c r="E297" s="202">
        <f t="shared" si="1"/>
        <v>0</v>
      </c>
      <c r="F297" s="203">
        <f t="shared" si="2"/>
        <v>0</v>
      </c>
      <c r="G297" s="204">
        <f t="shared" si="3"/>
        <v>0</v>
      </c>
      <c r="H297" s="205">
        <v>0.0</v>
      </c>
      <c r="I297" s="202">
        <f t="shared" si="4"/>
        <v>0</v>
      </c>
      <c r="J297" s="213" t="s">
        <v>59</v>
      </c>
      <c r="K297" s="1"/>
    </row>
    <row r="298" ht="18.0" customHeight="1">
      <c r="A298" s="1"/>
      <c r="B298" s="52">
        <v>264.0</v>
      </c>
      <c r="C298" s="52" t="s">
        <v>579</v>
      </c>
      <c r="D298" s="208">
        <f t="shared" si="5"/>
        <v>0</v>
      </c>
      <c r="E298" s="208">
        <f t="shared" si="1"/>
        <v>0</v>
      </c>
      <c r="F298" s="209">
        <f t="shared" si="2"/>
        <v>0</v>
      </c>
      <c r="G298" s="210">
        <f t="shared" si="3"/>
        <v>0</v>
      </c>
      <c r="H298" s="205">
        <v>0.0</v>
      </c>
      <c r="I298" s="208">
        <f t="shared" si="4"/>
        <v>0</v>
      </c>
      <c r="J298" s="212" t="s">
        <v>59</v>
      </c>
      <c r="K298" s="1"/>
    </row>
    <row r="299" ht="18.0" customHeight="1">
      <c r="A299" s="1"/>
      <c r="B299" s="37">
        <v>265.0</v>
      </c>
      <c r="C299" s="37" t="s">
        <v>580</v>
      </c>
      <c r="D299" s="202">
        <f t="shared" si="5"/>
        <v>0</v>
      </c>
      <c r="E299" s="202">
        <f t="shared" si="1"/>
        <v>0</v>
      </c>
      <c r="F299" s="203">
        <f t="shared" si="2"/>
        <v>0</v>
      </c>
      <c r="G299" s="204">
        <f t="shared" si="3"/>
        <v>0</v>
      </c>
      <c r="H299" s="205">
        <v>0.0</v>
      </c>
      <c r="I299" s="202">
        <f t="shared" si="4"/>
        <v>0</v>
      </c>
      <c r="J299" s="213" t="s">
        <v>59</v>
      </c>
      <c r="K299" s="1"/>
    </row>
    <row r="300" ht="18.0" customHeight="1">
      <c r="A300" s="1"/>
      <c r="B300" s="52">
        <v>266.0</v>
      </c>
      <c r="C300" s="52" t="s">
        <v>581</v>
      </c>
      <c r="D300" s="208">
        <f t="shared" si="5"/>
        <v>0</v>
      </c>
      <c r="E300" s="208">
        <f t="shared" si="1"/>
        <v>0</v>
      </c>
      <c r="F300" s="209">
        <f t="shared" si="2"/>
        <v>0</v>
      </c>
      <c r="G300" s="210">
        <f t="shared" si="3"/>
        <v>0</v>
      </c>
      <c r="H300" s="205">
        <v>0.0</v>
      </c>
      <c r="I300" s="208">
        <f t="shared" si="4"/>
        <v>0</v>
      </c>
      <c r="J300" s="212" t="s">
        <v>59</v>
      </c>
      <c r="K300" s="1"/>
    </row>
    <row r="301" ht="18.0" customHeight="1">
      <c r="A301" s="1"/>
      <c r="B301" s="37">
        <v>267.0</v>
      </c>
      <c r="C301" s="37" t="s">
        <v>582</v>
      </c>
      <c r="D301" s="202">
        <f t="shared" si="5"/>
        <v>0</v>
      </c>
      <c r="E301" s="202">
        <f t="shared" si="1"/>
        <v>0</v>
      </c>
      <c r="F301" s="203">
        <f t="shared" si="2"/>
        <v>0</v>
      </c>
      <c r="G301" s="204">
        <f t="shared" si="3"/>
        <v>0</v>
      </c>
      <c r="H301" s="205">
        <v>0.0</v>
      </c>
      <c r="I301" s="202">
        <f t="shared" si="4"/>
        <v>0</v>
      </c>
      <c r="J301" s="213" t="s">
        <v>59</v>
      </c>
      <c r="K301" s="1"/>
    </row>
    <row r="302" ht="18.0" customHeight="1">
      <c r="A302" s="1"/>
      <c r="B302" s="52">
        <v>268.0</v>
      </c>
      <c r="C302" s="52" t="s">
        <v>583</v>
      </c>
      <c r="D302" s="208">
        <f t="shared" si="5"/>
        <v>0</v>
      </c>
      <c r="E302" s="208">
        <f t="shared" si="1"/>
        <v>0</v>
      </c>
      <c r="F302" s="209">
        <f t="shared" si="2"/>
        <v>0</v>
      </c>
      <c r="G302" s="210">
        <f t="shared" si="3"/>
        <v>0</v>
      </c>
      <c r="H302" s="205">
        <v>0.0</v>
      </c>
      <c r="I302" s="208">
        <f t="shared" si="4"/>
        <v>0</v>
      </c>
      <c r="J302" s="212" t="s">
        <v>59</v>
      </c>
      <c r="K302" s="1"/>
    </row>
    <row r="303" ht="18.0" customHeight="1">
      <c r="A303" s="1"/>
      <c r="B303" s="37">
        <v>269.0</v>
      </c>
      <c r="C303" s="37" t="s">
        <v>584</v>
      </c>
      <c r="D303" s="202">
        <f t="shared" si="5"/>
        <v>0</v>
      </c>
      <c r="E303" s="202">
        <f t="shared" si="1"/>
        <v>0</v>
      </c>
      <c r="F303" s="203">
        <f t="shared" si="2"/>
        <v>0</v>
      </c>
      <c r="G303" s="204">
        <f t="shared" si="3"/>
        <v>0</v>
      </c>
      <c r="H303" s="205">
        <v>0.0</v>
      </c>
      <c r="I303" s="202">
        <f t="shared" si="4"/>
        <v>0</v>
      </c>
      <c r="J303" s="213" t="s">
        <v>59</v>
      </c>
      <c r="K303" s="1"/>
    </row>
    <row r="304" ht="18.0" customHeight="1">
      <c r="A304" s="1"/>
      <c r="B304" s="52">
        <v>270.0</v>
      </c>
      <c r="C304" s="52" t="s">
        <v>585</v>
      </c>
      <c r="D304" s="208">
        <f t="shared" si="5"/>
        <v>0</v>
      </c>
      <c r="E304" s="208">
        <f t="shared" si="1"/>
        <v>0</v>
      </c>
      <c r="F304" s="209">
        <f t="shared" si="2"/>
        <v>0</v>
      </c>
      <c r="G304" s="210">
        <f t="shared" si="3"/>
        <v>0</v>
      </c>
      <c r="H304" s="205">
        <v>0.0</v>
      </c>
      <c r="I304" s="208">
        <f t="shared" si="4"/>
        <v>0</v>
      </c>
      <c r="J304" s="212" t="s">
        <v>59</v>
      </c>
      <c r="K304" s="1"/>
    </row>
    <row r="305" ht="18.0" customHeight="1">
      <c r="A305" s="1"/>
      <c r="B305" s="37">
        <v>271.0</v>
      </c>
      <c r="C305" s="37" t="s">
        <v>586</v>
      </c>
      <c r="D305" s="202">
        <f t="shared" si="5"/>
        <v>0</v>
      </c>
      <c r="E305" s="202">
        <f t="shared" si="1"/>
        <v>0</v>
      </c>
      <c r="F305" s="203">
        <f t="shared" si="2"/>
        <v>0</v>
      </c>
      <c r="G305" s="204">
        <f t="shared" si="3"/>
        <v>0</v>
      </c>
      <c r="H305" s="205">
        <v>0.0</v>
      </c>
      <c r="I305" s="202">
        <f t="shared" si="4"/>
        <v>0</v>
      </c>
      <c r="J305" s="213" t="s">
        <v>59</v>
      </c>
      <c r="K305" s="1"/>
    </row>
    <row r="306" ht="18.0" customHeight="1">
      <c r="A306" s="1"/>
      <c r="B306" s="52">
        <v>272.0</v>
      </c>
      <c r="C306" s="52" t="s">
        <v>587</v>
      </c>
      <c r="D306" s="208">
        <f t="shared" si="5"/>
        <v>0</v>
      </c>
      <c r="E306" s="208">
        <f t="shared" si="1"/>
        <v>0</v>
      </c>
      <c r="F306" s="209">
        <f t="shared" si="2"/>
        <v>0</v>
      </c>
      <c r="G306" s="210">
        <f t="shared" si="3"/>
        <v>0</v>
      </c>
      <c r="H306" s="205">
        <v>0.0</v>
      </c>
      <c r="I306" s="208">
        <f t="shared" si="4"/>
        <v>0</v>
      </c>
      <c r="J306" s="212" t="s">
        <v>59</v>
      </c>
      <c r="K306" s="1"/>
    </row>
    <row r="307" ht="18.0" customHeight="1">
      <c r="A307" s="1"/>
      <c r="B307" s="37">
        <v>273.0</v>
      </c>
      <c r="C307" s="37" t="s">
        <v>588</v>
      </c>
      <c r="D307" s="202">
        <f t="shared" si="5"/>
        <v>0</v>
      </c>
      <c r="E307" s="202">
        <f t="shared" si="1"/>
        <v>0</v>
      </c>
      <c r="F307" s="203">
        <f t="shared" si="2"/>
        <v>0</v>
      </c>
      <c r="G307" s="204">
        <f t="shared" si="3"/>
        <v>0</v>
      </c>
      <c r="H307" s="205">
        <v>0.0</v>
      </c>
      <c r="I307" s="202">
        <f t="shared" si="4"/>
        <v>0</v>
      </c>
      <c r="J307" s="213" t="s">
        <v>59</v>
      </c>
      <c r="K307" s="1"/>
    </row>
    <row r="308" ht="18.0" customHeight="1">
      <c r="A308" s="1"/>
      <c r="B308" s="52">
        <v>274.0</v>
      </c>
      <c r="C308" s="52" t="s">
        <v>589</v>
      </c>
      <c r="D308" s="208">
        <f t="shared" si="5"/>
        <v>0</v>
      </c>
      <c r="E308" s="208">
        <f t="shared" si="1"/>
        <v>0</v>
      </c>
      <c r="F308" s="209">
        <f t="shared" si="2"/>
        <v>0</v>
      </c>
      <c r="G308" s="210">
        <f t="shared" si="3"/>
        <v>0</v>
      </c>
      <c r="H308" s="205">
        <v>0.0</v>
      </c>
      <c r="I308" s="208">
        <f t="shared" si="4"/>
        <v>0</v>
      </c>
      <c r="J308" s="212" t="s">
        <v>59</v>
      </c>
      <c r="K308" s="1"/>
    </row>
    <row r="309" ht="18.0" customHeight="1">
      <c r="A309" s="1"/>
      <c r="B309" s="37">
        <v>275.0</v>
      </c>
      <c r="C309" s="37" t="s">
        <v>590</v>
      </c>
      <c r="D309" s="202">
        <f t="shared" si="5"/>
        <v>0</v>
      </c>
      <c r="E309" s="202">
        <f t="shared" si="1"/>
        <v>0</v>
      </c>
      <c r="F309" s="203">
        <f t="shared" si="2"/>
        <v>0</v>
      </c>
      <c r="G309" s="204">
        <f t="shared" si="3"/>
        <v>0</v>
      </c>
      <c r="H309" s="205">
        <v>0.0</v>
      </c>
      <c r="I309" s="202">
        <f t="shared" si="4"/>
        <v>0</v>
      </c>
      <c r="J309" s="213" t="s">
        <v>59</v>
      </c>
      <c r="K309" s="1"/>
    </row>
    <row r="310" ht="18.0" customHeight="1">
      <c r="A310" s="1"/>
      <c r="B310" s="52">
        <v>276.0</v>
      </c>
      <c r="C310" s="52" t="s">
        <v>591</v>
      </c>
      <c r="D310" s="208">
        <f t="shared" si="5"/>
        <v>0</v>
      </c>
      <c r="E310" s="208">
        <f t="shared" si="1"/>
        <v>0</v>
      </c>
      <c r="F310" s="209">
        <f t="shared" si="2"/>
        <v>0</v>
      </c>
      <c r="G310" s="210">
        <f t="shared" si="3"/>
        <v>0</v>
      </c>
      <c r="H310" s="205">
        <v>0.0</v>
      </c>
      <c r="I310" s="208">
        <f t="shared" si="4"/>
        <v>0</v>
      </c>
      <c r="J310" s="212" t="s">
        <v>59</v>
      </c>
      <c r="K310" s="1"/>
    </row>
    <row r="311" ht="18.0" customHeight="1">
      <c r="A311" s="1"/>
      <c r="B311" s="37">
        <v>277.0</v>
      </c>
      <c r="C311" s="37" t="s">
        <v>592</v>
      </c>
      <c r="D311" s="202">
        <f t="shared" si="5"/>
        <v>0</v>
      </c>
      <c r="E311" s="202">
        <f t="shared" si="1"/>
        <v>0</v>
      </c>
      <c r="F311" s="203">
        <f t="shared" si="2"/>
        <v>0</v>
      </c>
      <c r="G311" s="204">
        <f t="shared" si="3"/>
        <v>0</v>
      </c>
      <c r="H311" s="205">
        <v>0.0</v>
      </c>
      <c r="I311" s="202">
        <f t="shared" si="4"/>
        <v>0</v>
      </c>
      <c r="J311" s="213" t="s">
        <v>59</v>
      </c>
      <c r="K311" s="1"/>
    </row>
    <row r="312" ht="18.0" customHeight="1">
      <c r="A312" s="1"/>
      <c r="B312" s="52">
        <v>278.0</v>
      </c>
      <c r="C312" s="52" t="s">
        <v>593</v>
      </c>
      <c r="D312" s="208">
        <f t="shared" si="5"/>
        <v>0</v>
      </c>
      <c r="E312" s="208">
        <f t="shared" si="1"/>
        <v>0</v>
      </c>
      <c r="F312" s="209">
        <f t="shared" si="2"/>
        <v>0</v>
      </c>
      <c r="G312" s="210">
        <f t="shared" si="3"/>
        <v>0</v>
      </c>
      <c r="H312" s="205">
        <v>0.0</v>
      </c>
      <c r="I312" s="208">
        <f t="shared" si="4"/>
        <v>0</v>
      </c>
      <c r="J312" s="212" t="s">
        <v>59</v>
      </c>
      <c r="K312" s="1"/>
    </row>
    <row r="313" ht="18.0" customHeight="1">
      <c r="A313" s="1"/>
      <c r="B313" s="37">
        <v>279.0</v>
      </c>
      <c r="C313" s="37" t="s">
        <v>594</v>
      </c>
      <c r="D313" s="202">
        <f t="shared" si="5"/>
        <v>0</v>
      </c>
      <c r="E313" s="202">
        <f t="shared" si="1"/>
        <v>0</v>
      </c>
      <c r="F313" s="203">
        <f t="shared" si="2"/>
        <v>0</v>
      </c>
      <c r="G313" s="204">
        <f t="shared" si="3"/>
        <v>0</v>
      </c>
      <c r="H313" s="205">
        <v>0.0</v>
      </c>
      <c r="I313" s="202">
        <f t="shared" si="4"/>
        <v>0</v>
      </c>
      <c r="J313" s="213" t="s">
        <v>59</v>
      </c>
      <c r="K313" s="1"/>
    </row>
    <row r="314" ht="18.0" customHeight="1">
      <c r="A314" s="1"/>
      <c r="B314" s="52">
        <v>280.0</v>
      </c>
      <c r="C314" s="52" t="s">
        <v>595</v>
      </c>
      <c r="D314" s="208">
        <f t="shared" si="5"/>
        <v>0</v>
      </c>
      <c r="E314" s="208">
        <f t="shared" si="1"/>
        <v>0</v>
      </c>
      <c r="F314" s="209">
        <f t="shared" si="2"/>
        <v>0</v>
      </c>
      <c r="G314" s="210">
        <f t="shared" si="3"/>
        <v>0</v>
      </c>
      <c r="H314" s="205">
        <v>0.0</v>
      </c>
      <c r="I314" s="208">
        <f t="shared" si="4"/>
        <v>0</v>
      </c>
      <c r="J314" s="212" t="s">
        <v>59</v>
      </c>
      <c r="K314" s="1"/>
    </row>
    <row r="315" ht="18.0" customHeight="1">
      <c r="A315" s="1"/>
      <c r="B315" s="37">
        <v>281.0</v>
      </c>
      <c r="C315" s="37" t="s">
        <v>596</v>
      </c>
      <c r="D315" s="202">
        <f t="shared" si="5"/>
        <v>0</v>
      </c>
      <c r="E315" s="202">
        <f t="shared" si="1"/>
        <v>0</v>
      </c>
      <c r="F315" s="203">
        <f t="shared" si="2"/>
        <v>0</v>
      </c>
      <c r="G315" s="204">
        <f t="shared" si="3"/>
        <v>0</v>
      </c>
      <c r="H315" s="205">
        <v>0.0</v>
      </c>
      <c r="I315" s="202">
        <f t="shared" si="4"/>
        <v>0</v>
      </c>
      <c r="J315" s="213" t="s">
        <v>59</v>
      </c>
      <c r="K315" s="1"/>
    </row>
    <row r="316" ht="18.0" customHeight="1">
      <c r="A316" s="1"/>
      <c r="B316" s="52">
        <v>282.0</v>
      </c>
      <c r="C316" s="52" t="s">
        <v>597</v>
      </c>
      <c r="D316" s="208">
        <f t="shared" si="5"/>
        <v>0</v>
      </c>
      <c r="E316" s="208">
        <f t="shared" si="1"/>
        <v>0</v>
      </c>
      <c r="F316" s="209">
        <f t="shared" si="2"/>
        <v>0</v>
      </c>
      <c r="G316" s="210">
        <f t="shared" si="3"/>
        <v>0</v>
      </c>
      <c r="H316" s="205">
        <v>0.0</v>
      </c>
      <c r="I316" s="208">
        <f t="shared" si="4"/>
        <v>0</v>
      </c>
      <c r="J316" s="212" t="s">
        <v>59</v>
      </c>
      <c r="K316" s="1"/>
    </row>
    <row r="317" ht="18.0" customHeight="1">
      <c r="A317" s="1"/>
      <c r="B317" s="37">
        <v>283.0</v>
      </c>
      <c r="C317" s="37" t="s">
        <v>598</v>
      </c>
      <c r="D317" s="202">
        <f t="shared" si="5"/>
        <v>0</v>
      </c>
      <c r="E317" s="202">
        <f t="shared" si="1"/>
        <v>0</v>
      </c>
      <c r="F317" s="203">
        <f t="shared" si="2"/>
        <v>0</v>
      </c>
      <c r="G317" s="204">
        <f t="shared" si="3"/>
        <v>0</v>
      </c>
      <c r="H317" s="205">
        <v>0.0</v>
      </c>
      <c r="I317" s="202">
        <f t="shared" si="4"/>
        <v>0</v>
      </c>
      <c r="J317" s="213" t="s">
        <v>59</v>
      </c>
      <c r="K317" s="1"/>
    </row>
    <row r="318" ht="18.0" customHeight="1">
      <c r="A318" s="1"/>
      <c r="B318" s="52">
        <v>284.0</v>
      </c>
      <c r="C318" s="52" t="s">
        <v>599</v>
      </c>
      <c r="D318" s="208">
        <f t="shared" si="5"/>
        <v>0</v>
      </c>
      <c r="E318" s="208">
        <f t="shared" si="1"/>
        <v>0</v>
      </c>
      <c r="F318" s="209">
        <f t="shared" si="2"/>
        <v>0</v>
      </c>
      <c r="G318" s="210">
        <f t="shared" si="3"/>
        <v>0</v>
      </c>
      <c r="H318" s="205">
        <v>0.0</v>
      </c>
      <c r="I318" s="208">
        <f t="shared" si="4"/>
        <v>0</v>
      </c>
      <c r="J318" s="212" t="s">
        <v>59</v>
      </c>
      <c r="K318" s="1"/>
    </row>
    <row r="319" ht="18.0" customHeight="1">
      <c r="A319" s="1"/>
      <c r="B319" s="37">
        <v>285.0</v>
      </c>
      <c r="C319" s="37" t="s">
        <v>600</v>
      </c>
      <c r="D319" s="202">
        <f t="shared" si="5"/>
        <v>0</v>
      </c>
      <c r="E319" s="202">
        <f t="shared" si="1"/>
        <v>0</v>
      </c>
      <c r="F319" s="203">
        <f t="shared" si="2"/>
        <v>0</v>
      </c>
      <c r="G319" s="204">
        <f t="shared" si="3"/>
        <v>0</v>
      </c>
      <c r="H319" s="205">
        <v>0.0</v>
      </c>
      <c r="I319" s="202">
        <f t="shared" si="4"/>
        <v>0</v>
      </c>
      <c r="J319" s="213" t="s">
        <v>59</v>
      </c>
      <c r="K319" s="1"/>
    </row>
    <row r="320" ht="18.0" customHeight="1">
      <c r="A320" s="1"/>
      <c r="B320" s="52">
        <v>286.0</v>
      </c>
      <c r="C320" s="52" t="s">
        <v>601</v>
      </c>
      <c r="D320" s="208">
        <f t="shared" si="5"/>
        <v>0</v>
      </c>
      <c r="E320" s="208">
        <f t="shared" si="1"/>
        <v>0</v>
      </c>
      <c r="F320" s="209">
        <f t="shared" si="2"/>
        <v>0</v>
      </c>
      <c r="G320" s="210">
        <f t="shared" si="3"/>
        <v>0</v>
      </c>
      <c r="H320" s="205">
        <v>0.0</v>
      </c>
      <c r="I320" s="208">
        <f t="shared" si="4"/>
        <v>0</v>
      </c>
      <c r="J320" s="212" t="s">
        <v>59</v>
      </c>
      <c r="K320" s="1"/>
    </row>
    <row r="321" ht="18.0" customHeight="1">
      <c r="A321" s="1"/>
      <c r="B321" s="37">
        <v>287.0</v>
      </c>
      <c r="C321" s="37" t="s">
        <v>602</v>
      </c>
      <c r="D321" s="202">
        <f t="shared" si="5"/>
        <v>0</v>
      </c>
      <c r="E321" s="202">
        <f t="shared" si="1"/>
        <v>0</v>
      </c>
      <c r="F321" s="203">
        <f t="shared" si="2"/>
        <v>0</v>
      </c>
      <c r="G321" s="204">
        <f t="shared" si="3"/>
        <v>0</v>
      </c>
      <c r="H321" s="205">
        <v>0.0</v>
      </c>
      <c r="I321" s="202">
        <f t="shared" si="4"/>
        <v>0</v>
      </c>
      <c r="J321" s="213" t="s">
        <v>59</v>
      </c>
      <c r="K321" s="1"/>
    </row>
    <row r="322" ht="18.0" customHeight="1">
      <c r="A322" s="1"/>
      <c r="B322" s="52">
        <v>288.0</v>
      </c>
      <c r="C322" s="52" t="s">
        <v>603</v>
      </c>
      <c r="D322" s="208">
        <f t="shared" si="5"/>
        <v>0</v>
      </c>
      <c r="E322" s="208">
        <f t="shared" si="1"/>
        <v>0</v>
      </c>
      <c r="F322" s="209">
        <f t="shared" si="2"/>
        <v>0</v>
      </c>
      <c r="G322" s="210">
        <f t="shared" si="3"/>
        <v>0</v>
      </c>
      <c r="H322" s="205">
        <v>0.0</v>
      </c>
      <c r="I322" s="208">
        <f t="shared" si="4"/>
        <v>0</v>
      </c>
      <c r="J322" s="212" t="s">
        <v>59</v>
      </c>
      <c r="K322" s="1"/>
    </row>
    <row r="323" ht="18.0" customHeight="1">
      <c r="A323" s="1"/>
      <c r="B323" s="37">
        <v>289.0</v>
      </c>
      <c r="C323" s="37" t="s">
        <v>604</v>
      </c>
      <c r="D323" s="202">
        <f t="shared" si="5"/>
        <v>0</v>
      </c>
      <c r="E323" s="202">
        <f t="shared" si="1"/>
        <v>0</v>
      </c>
      <c r="F323" s="203">
        <f t="shared" si="2"/>
        <v>0</v>
      </c>
      <c r="G323" s="204">
        <f t="shared" si="3"/>
        <v>0</v>
      </c>
      <c r="H323" s="205">
        <v>0.0</v>
      </c>
      <c r="I323" s="202">
        <f t="shared" si="4"/>
        <v>0</v>
      </c>
      <c r="J323" s="213" t="s">
        <v>59</v>
      </c>
      <c r="K323" s="1"/>
    </row>
    <row r="324" ht="18.0" customHeight="1">
      <c r="A324" s="1"/>
      <c r="B324" s="52">
        <v>290.0</v>
      </c>
      <c r="C324" s="52" t="s">
        <v>605</v>
      </c>
      <c r="D324" s="208">
        <f t="shared" si="5"/>
        <v>0</v>
      </c>
      <c r="E324" s="208">
        <f t="shared" si="1"/>
        <v>0</v>
      </c>
      <c r="F324" s="209">
        <f t="shared" si="2"/>
        <v>0</v>
      </c>
      <c r="G324" s="210">
        <f t="shared" si="3"/>
        <v>0</v>
      </c>
      <c r="H324" s="205">
        <v>0.0</v>
      </c>
      <c r="I324" s="208">
        <f t="shared" si="4"/>
        <v>0</v>
      </c>
      <c r="J324" s="212" t="s">
        <v>59</v>
      </c>
      <c r="K324" s="1"/>
    </row>
    <row r="325" ht="18.0" customHeight="1">
      <c r="A325" s="1"/>
      <c r="B325" s="37">
        <v>291.0</v>
      </c>
      <c r="C325" s="37" t="s">
        <v>606</v>
      </c>
      <c r="D325" s="202">
        <f t="shared" si="5"/>
        <v>0</v>
      </c>
      <c r="E325" s="202">
        <f t="shared" si="1"/>
        <v>0</v>
      </c>
      <c r="F325" s="203">
        <f t="shared" si="2"/>
        <v>0</v>
      </c>
      <c r="G325" s="204">
        <f t="shared" si="3"/>
        <v>0</v>
      </c>
      <c r="H325" s="205">
        <v>0.0</v>
      </c>
      <c r="I325" s="202">
        <f t="shared" si="4"/>
        <v>0</v>
      </c>
      <c r="J325" s="213" t="s">
        <v>59</v>
      </c>
      <c r="K325" s="1"/>
    </row>
    <row r="326" ht="18.0" customHeight="1">
      <c r="A326" s="1"/>
      <c r="B326" s="52">
        <v>292.0</v>
      </c>
      <c r="C326" s="52" t="s">
        <v>607</v>
      </c>
      <c r="D326" s="208">
        <f t="shared" si="5"/>
        <v>0</v>
      </c>
      <c r="E326" s="208">
        <f t="shared" si="1"/>
        <v>0</v>
      </c>
      <c r="F326" s="209">
        <f t="shared" si="2"/>
        <v>0</v>
      </c>
      <c r="G326" s="210">
        <f t="shared" si="3"/>
        <v>0</v>
      </c>
      <c r="H326" s="205">
        <v>0.0</v>
      </c>
      <c r="I326" s="208">
        <f t="shared" si="4"/>
        <v>0</v>
      </c>
      <c r="J326" s="212" t="s">
        <v>59</v>
      </c>
      <c r="K326" s="1"/>
    </row>
    <row r="327" ht="18.0" customHeight="1">
      <c r="A327" s="1"/>
      <c r="B327" s="37">
        <v>293.0</v>
      </c>
      <c r="C327" s="37" t="s">
        <v>608</v>
      </c>
      <c r="D327" s="202">
        <f t="shared" si="5"/>
        <v>0</v>
      </c>
      <c r="E327" s="202">
        <f t="shared" si="1"/>
        <v>0</v>
      </c>
      <c r="F327" s="203">
        <f t="shared" si="2"/>
        <v>0</v>
      </c>
      <c r="G327" s="204">
        <f t="shared" si="3"/>
        <v>0</v>
      </c>
      <c r="H327" s="205">
        <v>0.0</v>
      </c>
      <c r="I327" s="202">
        <f t="shared" si="4"/>
        <v>0</v>
      </c>
      <c r="J327" s="213" t="s">
        <v>59</v>
      </c>
      <c r="K327" s="1"/>
    </row>
    <row r="328" ht="18.0" customHeight="1">
      <c r="A328" s="1"/>
      <c r="B328" s="52">
        <v>294.0</v>
      </c>
      <c r="C328" s="52" t="s">
        <v>609</v>
      </c>
      <c r="D328" s="208">
        <f t="shared" si="5"/>
        <v>0</v>
      </c>
      <c r="E328" s="208">
        <f t="shared" si="1"/>
        <v>0</v>
      </c>
      <c r="F328" s="209">
        <f t="shared" si="2"/>
        <v>0</v>
      </c>
      <c r="G328" s="210">
        <f t="shared" si="3"/>
        <v>0</v>
      </c>
      <c r="H328" s="205">
        <v>0.0</v>
      </c>
      <c r="I328" s="208">
        <f t="shared" si="4"/>
        <v>0</v>
      </c>
      <c r="J328" s="212" t="s">
        <v>59</v>
      </c>
      <c r="K328" s="1"/>
    </row>
    <row r="329" ht="18.0" customHeight="1">
      <c r="A329" s="1"/>
      <c r="B329" s="37">
        <v>295.0</v>
      </c>
      <c r="C329" s="37" t="s">
        <v>610</v>
      </c>
      <c r="D329" s="202">
        <f t="shared" si="5"/>
        <v>0</v>
      </c>
      <c r="E329" s="202">
        <f t="shared" si="1"/>
        <v>0</v>
      </c>
      <c r="F329" s="203">
        <f t="shared" si="2"/>
        <v>0</v>
      </c>
      <c r="G329" s="204">
        <f t="shared" si="3"/>
        <v>0</v>
      </c>
      <c r="H329" s="205">
        <v>0.0</v>
      </c>
      <c r="I329" s="202">
        <f t="shared" si="4"/>
        <v>0</v>
      </c>
      <c r="J329" s="213" t="s">
        <v>59</v>
      </c>
      <c r="K329" s="1"/>
    </row>
    <row r="330" ht="18.0" customHeight="1">
      <c r="A330" s="1"/>
      <c r="B330" s="52">
        <v>296.0</v>
      </c>
      <c r="C330" s="52" t="s">
        <v>611</v>
      </c>
      <c r="D330" s="208">
        <f t="shared" si="5"/>
        <v>0</v>
      </c>
      <c r="E330" s="208">
        <f t="shared" si="1"/>
        <v>0</v>
      </c>
      <c r="F330" s="209">
        <f t="shared" si="2"/>
        <v>0</v>
      </c>
      <c r="G330" s="210">
        <f t="shared" si="3"/>
        <v>0</v>
      </c>
      <c r="H330" s="205">
        <v>0.0</v>
      </c>
      <c r="I330" s="208">
        <f t="shared" si="4"/>
        <v>0</v>
      </c>
      <c r="J330" s="212" t="s">
        <v>59</v>
      </c>
      <c r="K330" s="1"/>
    </row>
    <row r="331" ht="18.0" customHeight="1">
      <c r="A331" s="1"/>
      <c r="B331" s="37">
        <v>297.0</v>
      </c>
      <c r="C331" s="37" t="s">
        <v>612</v>
      </c>
      <c r="D331" s="202">
        <f t="shared" si="5"/>
        <v>0</v>
      </c>
      <c r="E331" s="202">
        <f t="shared" si="1"/>
        <v>0</v>
      </c>
      <c r="F331" s="203">
        <f t="shared" si="2"/>
        <v>0</v>
      </c>
      <c r="G331" s="204">
        <f t="shared" si="3"/>
        <v>0</v>
      </c>
      <c r="H331" s="205">
        <v>0.0</v>
      </c>
      <c r="I331" s="202">
        <f t="shared" si="4"/>
        <v>0</v>
      </c>
      <c r="J331" s="213" t="s">
        <v>59</v>
      </c>
      <c r="K331" s="1"/>
    </row>
    <row r="332" ht="18.0" customHeight="1">
      <c r="A332" s="1"/>
      <c r="B332" s="52">
        <v>298.0</v>
      </c>
      <c r="C332" s="52" t="s">
        <v>613</v>
      </c>
      <c r="D332" s="208">
        <f t="shared" si="5"/>
        <v>0</v>
      </c>
      <c r="E332" s="208">
        <f t="shared" si="1"/>
        <v>0</v>
      </c>
      <c r="F332" s="209">
        <f t="shared" si="2"/>
        <v>0</v>
      </c>
      <c r="G332" s="210">
        <f t="shared" si="3"/>
        <v>0</v>
      </c>
      <c r="H332" s="205">
        <v>0.0</v>
      </c>
      <c r="I332" s="208">
        <f t="shared" si="4"/>
        <v>0</v>
      </c>
      <c r="J332" s="212" t="s">
        <v>59</v>
      </c>
      <c r="K332" s="1"/>
    </row>
    <row r="333" ht="18.0" customHeight="1">
      <c r="A333" s="1"/>
      <c r="B333" s="37">
        <v>299.0</v>
      </c>
      <c r="C333" s="37" t="s">
        <v>614</v>
      </c>
      <c r="D333" s="202">
        <f t="shared" si="5"/>
        <v>0</v>
      </c>
      <c r="E333" s="202">
        <f t="shared" si="1"/>
        <v>0</v>
      </c>
      <c r="F333" s="203">
        <f t="shared" si="2"/>
        <v>0</v>
      </c>
      <c r="G333" s="204">
        <f t="shared" si="3"/>
        <v>0</v>
      </c>
      <c r="H333" s="205">
        <v>0.0</v>
      </c>
      <c r="I333" s="202">
        <f t="shared" si="4"/>
        <v>0</v>
      </c>
      <c r="J333" s="213" t="s">
        <v>59</v>
      </c>
      <c r="K333" s="1"/>
    </row>
    <row r="334" ht="18.0" customHeight="1">
      <c r="A334" s="1"/>
      <c r="B334" s="52">
        <v>300.0</v>
      </c>
      <c r="C334" s="52" t="s">
        <v>615</v>
      </c>
      <c r="D334" s="208">
        <f t="shared" si="5"/>
        <v>0</v>
      </c>
      <c r="E334" s="208">
        <f t="shared" si="1"/>
        <v>0</v>
      </c>
      <c r="F334" s="209">
        <f t="shared" si="2"/>
        <v>0</v>
      </c>
      <c r="G334" s="210">
        <f t="shared" si="3"/>
        <v>0</v>
      </c>
      <c r="H334" s="205">
        <v>0.0</v>
      </c>
      <c r="I334" s="208">
        <f t="shared" si="4"/>
        <v>0</v>
      </c>
      <c r="J334" s="212" t="s">
        <v>59</v>
      </c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21.75" customHeight="1">
      <c r="A337" s="1"/>
      <c r="B337" s="176" t="s">
        <v>616</v>
      </c>
      <c r="C337" s="3"/>
      <c r="D337" s="3"/>
      <c r="E337" s="3"/>
      <c r="F337" s="3"/>
      <c r="G337" s="3"/>
      <c r="H337" s="3"/>
      <c r="I337" s="3"/>
      <c r="J337" s="4"/>
      <c r="K337" s="1"/>
    </row>
    <row r="338" ht="19.5" customHeight="1">
      <c r="A338" s="1"/>
      <c r="B338" s="214" t="s">
        <v>617</v>
      </c>
      <c r="C338" s="169"/>
      <c r="D338" s="215">
        <f>SUM(E35:E334)</f>
        <v>12306921</v>
      </c>
      <c r="E338" s="169"/>
      <c r="F338" s="1"/>
      <c r="G338" s="1"/>
      <c r="H338" s="1"/>
      <c r="I338" s="1"/>
      <c r="J338" s="1"/>
      <c r="K338" s="1"/>
    </row>
    <row r="339" ht="19.5" customHeight="1">
      <c r="A339" s="1"/>
      <c r="B339" s="216" t="s">
        <v>618</v>
      </c>
      <c r="C339" s="169"/>
      <c r="D339" s="215">
        <f>SUM(F35:F334)</f>
        <v>5446327</v>
      </c>
      <c r="E339" s="169"/>
      <c r="F339" s="1"/>
      <c r="G339" s="1"/>
      <c r="H339" s="1"/>
      <c r="I339" s="1"/>
      <c r="J339" s="1"/>
      <c r="K339" s="1"/>
    </row>
    <row r="340" ht="19.5" customHeight="1">
      <c r="A340" s="1"/>
      <c r="B340" s="214" t="s">
        <v>619</v>
      </c>
      <c r="C340" s="169"/>
      <c r="D340" s="215">
        <f>SUM(G35:G334)</f>
        <v>6860594</v>
      </c>
      <c r="E340" s="169"/>
      <c r="F340" s="1"/>
      <c r="G340" s="1"/>
      <c r="H340" s="1"/>
      <c r="I340" s="1"/>
      <c r="J340" s="1"/>
      <c r="K340" s="1"/>
    </row>
    <row r="341" ht="19.5" customHeight="1">
      <c r="A341" s="1"/>
      <c r="B341" s="216" t="s">
        <v>620</v>
      </c>
      <c r="C341" s="169"/>
      <c r="D341" s="215">
        <f>SUM(H35:H334)</f>
        <v>0</v>
      </c>
      <c r="E341" s="169"/>
      <c r="F341" s="1"/>
      <c r="G341" s="1"/>
      <c r="H341" s="1"/>
      <c r="I341" s="1"/>
      <c r="J341" s="1"/>
      <c r="K341" s="1"/>
    </row>
    <row r="342" ht="19.5" customHeight="1">
      <c r="A342" s="1"/>
      <c r="B342" s="214" t="s">
        <v>621</v>
      </c>
      <c r="C342" s="169"/>
      <c r="D342" s="217">
        <f>COUNTIF(D35:D334,"&gt;0")</f>
        <v>215</v>
      </c>
      <c r="E342" s="169"/>
      <c r="F342" s="1"/>
      <c r="G342" s="1"/>
      <c r="H342" s="1"/>
      <c r="I342" s="1"/>
      <c r="J342" s="1"/>
      <c r="K342" s="1"/>
    </row>
    <row r="343" ht="19.5" customHeight="1">
      <c r="A343" s="1"/>
      <c r="B343" s="216" t="s">
        <v>622</v>
      </c>
      <c r="C343" s="169"/>
      <c r="D343" s="218" t="str">
        <f>TEXT(DATE(2026,4+COUNTIF(D35:D334,"&gt;0"),1),"MMM-YYYY")</f>
        <v>Mar-2044</v>
      </c>
      <c r="E343" s="169"/>
      <c r="F343" s="1"/>
      <c r="G343" s="1"/>
      <c r="H343" s="1"/>
      <c r="I343" s="1"/>
      <c r="J343" s="1"/>
      <c r="K343" s="1"/>
    </row>
    <row r="344" ht="19.5" customHeight="1">
      <c r="A344" s="1"/>
      <c r="B344" s="214" t="s">
        <v>623</v>
      </c>
      <c r="C344" s="169"/>
      <c r="D344" s="217">
        <f>COUNTIF(J35:J334,"✅ Paid")</f>
        <v>1</v>
      </c>
      <c r="E344" s="169"/>
      <c r="F344" s="1"/>
      <c r="G344" s="1"/>
      <c r="H344" s="1"/>
      <c r="I344" s="1"/>
      <c r="J344" s="1"/>
      <c r="K344" s="1"/>
    </row>
    <row r="345" ht="19.5" customHeight="1">
      <c r="A345" s="1"/>
      <c r="B345" s="216" t="s">
        <v>624</v>
      </c>
      <c r="C345" s="169"/>
      <c r="D345" s="217">
        <f>COUNTIF(J35:J334,"⏳ Pending")</f>
        <v>299</v>
      </c>
      <c r="E345" s="169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21.75" customHeight="1">
      <c r="A348" s="1"/>
      <c r="B348" s="10" t="s">
        <v>625</v>
      </c>
      <c r="C348" s="3"/>
      <c r="D348" s="3"/>
      <c r="E348" s="3"/>
      <c r="F348" s="3"/>
      <c r="G348" s="3"/>
      <c r="H348" s="3"/>
      <c r="I348" s="3"/>
      <c r="J348" s="4"/>
      <c r="K348" s="1"/>
    </row>
    <row r="349" ht="21.75" customHeight="1">
      <c r="A349" s="1"/>
      <c r="B349" s="219" t="s">
        <v>626</v>
      </c>
      <c r="C349" s="170"/>
      <c r="D349" s="170"/>
      <c r="E349" s="170"/>
      <c r="F349" s="170"/>
      <c r="G349" s="170"/>
      <c r="H349" s="170"/>
      <c r="I349" s="170"/>
      <c r="J349" s="116"/>
      <c r="K349" s="1"/>
    </row>
    <row r="350" ht="21.75" customHeight="1">
      <c r="A350" s="1"/>
      <c r="B350" s="220" t="s">
        <v>627</v>
      </c>
      <c r="C350" s="170"/>
      <c r="D350" s="170"/>
      <c r="E350" s="170"/>
      <c r="F350" s="170"/>
      <c r="G350" s="170"/>
      <c r="H350" s="170"/>
      <c r="I350" s="170"/>
      <c r="J350" s="116"/>
      <c r="K350" s="1"/>
    </row>
    <row r="351" ht="21.75" customHeight="1">
      <c r="A351" s="1"/>
      <c r="B351" s="219" t="s">
        <v>628</v>
      </c>
      <c r="C351" s="170"/>
      <c r="D351" s="170"/>
      <c r="E351" s="170"/>
      <c r="F351" s="170"/>
      <c r="G351" s="170"/>
      <c r="H351" s="170"/>
      <c r="I351" s="170"/>
      <c r="J351" s="116"/>
      <c r="K351" s="1"/>
    </row>
    <row r="352" ht="21.75" customHeight="1">
      <c r="A352" s="1"/>
      <c r="B352" s="220" t="s">
        <v>629</v>
      </c>
      <c r="C352" s="170"/>
      <c r="D352" s="170"/>
      <c r="E352" s="170"/>
      <c r="F352" s="170"/>
      <c r="G352" s="170"/>
      <c r="H352" s="170"/>
      <c r="I352" s="170"/>
      <c r="J352" s="116"/>
      <c r="K352" s="1"/>
    </row>
    <row r="353" ht="21.75" customHeight="1">
      <c r="A353" s="1"/>
      <c r="B353" s="219" t="s">
        <v>630</v>
      </c>
      <c r="C353" s="170"/>
      <c r="D353" s="170"/>
      <c r="E353" s="170"/>
      <c r="F353" s="170"/>
      <c r="G353" s="170"/>
      <c r="H353" s="170"/>
      <c r="I353" s="170"/>
      <c r="J353" s="116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50">
    <mergeCell ref="B2:J2"/>
    <mergeCell ref="B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3:J33"/>
    <mergeCell ref="B337:J337"/>
    <mergeCell ref="B341:C341"/>
    <mergeCell ref="B342:C342"/>
    <mergeCell ref="B343:C343"/>
    <mergeCell ref="B344:C344"/>
    <mergeCell ref="B345:C345"/>
    <mergeCell ref="B338:C338"/>
    <mergeCell ref="D338:E338"/>
    <mergeCell ref="B339:C339"/>
    <mergeCell ref="D339:E339"/>
    <mergeCell ref="B340:C340"/>
    <mergeCell ref="D340:E340"/>
    <mergeCell ref="D341:E341"/>
    <mergeCell ref="B351:J351"/>
    <mergeCell ref="B352:J352"/>
    <mergeCell ref="B353:J353"/>
    <mergeCell ref="D342:E342"/>
    <mergeCell ref="D343:E343"/>
    <mergeCell ref="D344:E344"/>
    <mergeCell ref="D345:E345"/>
    <mergeCell ref="B348:J348"/>
    <mergeCell ref="B349:J349"/>
    <mergeCell ref="B350:J35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.0"/>
    <col customWidth="1" min="3" max="3" width="48.29"/>
    <col customWidth="1" min="4" max="5" width="14.0"/>
    <col customWidth="1" min="6" max="6" width="44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73" t="s">
        <v>631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33" t="s">
        <v>632</v>
      </c>
      <c r="C4" s="33" t="s">
        <v>633</v>
      </c>
      <c r="D4" s="33" t="s">
        <v>634</v>
      </c>
      <c r="E4" s="33" t="s">
        <v>635</v>
      </c>
      <c r="F4" s="33" t="s">
        <v>636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0" t="s">
        <v>637</v>
      </c>
      <c r="C5" s="3"/>
      <c r="D5" s="3"/>
      <c r="E5" s="3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21" t="s">
        <v>638</v>
      </c>
      <c r="C6" s="222" t="s">
        <v>639</v>
      </c>
      <c r="D6" s="223" t="s">
        <v>640</v>
      </c>
      <c r="E6" s="221" t="s">
        <v>641</v>
      </c>
      <c r="F6" s="222" t="s">
        <v>642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221" t="s">
        <v>638</v>
      </c>
      <c r="C7" s="222" t="s">
        <v>643</v>
      </c>
      <c r="D7" s="223" t="s">
        <v>640</v>
      </c>
      <c r="E7" s="221" t="s">
        <v>644</v>
      </c>
      <c r="F7" s="222" t="s">
        <v>645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24" t="s">
        <v>638</v>
      </c>
      <c r="C8" s="43" t="s">
        <v>646</v>
      </c>
      <c r="D8" s="225" t="s">
        <v>647</v>
      </c>
      <c r="E8" s="224" t="s">
        <v>644</v>
      </c>
      <c r="F8" s="43" t="s">
        <v>648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224" t="s">
        <v>638</v>
      </c>
      <c r="C9" s="43" t="s">
        <v>649</v>
      </c>
      <c r="D9" s="225" t="s">
        <v>647</v>
      </c>
      <c r="E9" s="224" t="s">
        <v>650</v>
      </c>
      <c r="F9" s="43" t="s">
        <v>651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26" t="s">
        <v>638</v>
      </c>
      <c r="C10" s="38" t="s">
        <v>652</v>
      </c>
      <c r="D10" s="226" t="s">
        <v>653</v>
      </c>
      <c r="E10" s="226" t="s">
        <v>654</v>
      </c>
      <c r="F10" s="38" t="s">
        <v>655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226" t="s">
        <v>638</v>
      </c>
      <c r="C11" s="38" t="s">
        <v>656</v>
      </c>
      <c r="D11" s="226" t="s">
        <v>653</v>
      </c>
      <c r="E11" s="226" t="s">
        <v>654</v>
      </c>
      <c r="F11" s="38" t="s">
        <v>657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26" t="s">
        <v>638</v>
      </c>
      <c r="C12" s="38" t="s">
        <v>658</v>
      </c>
      <c r="D12" s="226" t="s">
        <v>653</v>
      </c>
      <c r="E12" s="226" t="s">
        <v>641</v>
      </c>
      <c r="F12" s="38" t="s">
        <v>659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10" t="s">
        <v>660</v>
      </c>
      <c r="C13" s="3"/>
      <c r="D13" s="3"/>
      <c r="E13" s="3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24" t="s">
        <v>638</v>
      </c>
      <c r="C14" s="43" t="s">
        <v>661</v>
      </c>
      <c r="D14" s="225" t="s">
        <v>647</v>
      </c>
      <c r="E14" s="224" t="s">
        <v>662</v>
      </c>
      <c r="F14" s="43" t="s">
        <v>663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226" t="s">
        <v>638</v>
      </c>
      <c r="C15" s="38" t="s">
        <v>664</v>
      </c>
      <c r="D15" s="226" t="s">
        <v>653</v>
      </c>
      <c r="E15" s="226" t="s">
        <v>662</v>
      </c>
      <c r="F15" s="38" t="s">
        <v>665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24" t="s">
        <v>638</v>
      </c>
      <c r="C16" s="43" t="s">
        <v>666</v>
      </c>
      <c r="D16" s="225" t="s">
        <v>647</v>
      </c>
      <c r="E16" s="224" t="s">
        <v>667</v>
      </c>
      <c r="F16" s="43" t="s">
        <v>668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226" t="s">
        <v>638</v>
      </c>
      <c r="C17" s="38" t="s">
        <v>669</v>
      </c>
      <c r="D17" s="226" t="s">
        <v>653</v>
      </c>
      <c r="E17" s="226" t="s">
        <v>667</v>
      </c>
      <c r="F17" s="38" t="s">
        <v>670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122" t="s">
        <v>638</v>
      </c>
      <c r="C18" s="64" t="s">
        <v>671</v>
      </c>
      <c r="D18" s="227" t="s">
        <v>672</v>
      </c>
      <c r="E18" s="122" t="s">
        <v>673</v>
      </c>
      <c r="F18" s="64" t="s">
        <v>674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10" t="s">
        <v>675</v>
      </c>
      <c r="C19" s="3"/>
      <c r="D19" s="3"/>
      <c r="E19" s="3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24" t="s">
        <v>638</v>
      </c>
      <c r="C20" s="43" t="s">
        <v>676</v>
      </c>
      <c r="D20" s="225" t="s">
        <v>647</v>
      </c>
      <c r="E20" s="224" t="s">
        <v>677</v>
      </c>
      <c r="F20" s="43" t="s">
        <v>678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226" t="s">
        <v>638</v>
      </c>
      <c r="C21" s="38" t="s">
        <v>679</v>
      </c>
      <c r="D21" s="226" t="s">
        <v>653</v>
      </c>
      <c r="E21" s="226" t="s">
        <v>677</v>
      </c>
      <c r="F21" s="38" t="s">
        <v>680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26" t="s">
        <v>638</v>
      </c>
      <c r="C22" s="38" t="s">
        <v>681</v>
      </c>
      <c r="D22" s="226" t="s">
        <v>653</v>
      </c>
      <c r="E22" s="226" t="s">
        <v>654</v>
      </c>
      <c r="F22" s="38" t="s">
        <v>682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224" t="s">
        <v>638</v>
      </c>
      <c r="C23" s="43" t="s">
        <v>683</v>
      </c>
      <c r="D23" s="225" t="s">
        <v>647</v>
      </c>
      <c r="E23" s="224" t="s">
        <v>684</v>
      </c>
      <c r="F23" s="43" t="s">
        <v>685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0" t="s">
        <v>686</v>
      </c>
      <c r="C24" s="3"/>
      <c r="D24" s="3"/>
      <c r="E24" s="3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226" t="s">
        <v>638</v>
      </c>
      <c r="C25" s="38" t="s">
        <v>687</v>
      </c>
      <c r="D25" s="226" t="s">
        <v>653</v>
      </c>
      <c r="E25" s="226" t="s">
        <v>688</v>
      </c>
      <c r="F25" s="38" t="s">
        <v>689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26" t="s">
        <v>638</v>
      </c>
      <c r="C26" s="38" t="s">
        <v>690</v>
      </c>
      <c r="D26" s="226" t="s">
        <v>653</v>
      </c>
      <c r="E26" s="226" t="s">
        <v>688</v>
      </c>
      <c r="F26" s="38" t="s">
        <v>691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224" t="s">
        <v>638</v>
      </c>
      <c r="C27" s="43" t="s">
        <v>692</v>
      </c>
      <c r="D27" s="225" t="s">
        <v>647</v>
      </c>
      <c r="E27" s="224" t="s">
        <v>693</v>
      </c>
      <c r="F27" s="43" t="s">
        <v>694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0" t="s">
        <v>695</v>
      </c>
      <c r="C28" s="3"/>
      <c r="D28" s="3"/>
      <c r="E28" s="3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221" t="s">
        <v>638</v>
      </c>
      <c r="C29" s="222" t="s">
        <v>696</v>
      </c>
      <c r="D29" s="223" t="s">
        <v>640</v>
      </c>
      <c r="E29" s="221" t="s">
        <v>697</v>
      </c>
      <c r="F29" s="222" t="s">
        <v>698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26" t="s">
        <v>638</v>
      </c>
      <c r="C30" s="38" t="s">
        <v>699</v>
      </c>
      <c r="D30" s="226" t="s">
        <v>653</v>
      </c>
      <c r="E30" s="226" t="s">
        <v>688</v>
      </c>
      <c r="F30" s="38" t="s">
        <v>700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226" t="s">
        <v>638</v>
      </c>
      <c r="C31" s="38" t="s">
        <v>701</v>
      </c>
      <c r="D31" s="226" t="s">
        <v>653</v>
      </c>
      <c r="E31" s="226" t="s">
        <v>702</v>
      </c>
      <c r="F31" s="38" t="s">
        <v>703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26" t="s">
        <v>638</v>
      </c>
      <c r="C32" s="38" t="s">
        <v>704</v>
      </c>
      <c r="D32" s="226" t="s">
        <v>653</v>
      </c>
      <c r="E32" s="226" t="s">
        <v>654</v>
      </c>
      <c r="F32" s="38" t="s">
        <v>705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0" t="s">
        <v>706</v>
      </c>
      <c r="C33" s="3"/>
      <c r="D33" s="3"/>
      <c r="E33" s="3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26" t="s">
        <v>638</v>
      </c>
      <c r="C34" s="38" t="s">
        <v>707</v>
      </c>
      <c r="D34" s="226" t="s">
        <v>653</v>
      </c>
      <c r="E34" s="226" t="s">
        <v>708</v>
      </c>
      <c r="F34" s="38" t="s">
        <v>709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226" t="s">
        <v>638</v>
      </c>
      <c r="C35" s="38" t="s">
        <v>710</v>
      </c>
      <c r="D35" s="226" t="s">
        <v>653</v>
      </c>
      <c r="E35" s="226" t="s">
        <v>711</v>
      </c>
      <c r="F35" s="38" t="s">
        <v>712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26" t="s">
        <v>638</v>
      </c>
      <c r="C36" s="38" t="s">
        <v>713</v>
      </c>
      <c r="D36" s="226" t="s">
        <v>653</v>
      </c>
      <c r="E36" s="226" t="s">
        <v>714</v>
      </c>
      <c r="F36" s="38" t="s">
        <v>715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226" t="s">
        <v>638</v>
      </c>
      <c r="C37" s="38" t="s">
        <v>716</v>
      </c>
      <c r="D37" s="226" t="s">
        <v>653</v>
      </c>
      <c r="E37" s="226" t="s">
        <v>717</v>
      </c>
      <c r="F37" s="38" t="s">
        <v>718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26" t="s">
        <v>638</v>
      </c>
      <c r="C38" s="38" t="s">
        <v>719</v>
      </c>
      <c r="D38" s="226" t="s">
        <v>653</v>
      </c>
      <c r="E38" s="226" t="s">
        <v>720</v>
      </c>
      <c r="F38" s="38" t="s">
        <v>721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228" t="s">
        <v>638</v>
      </c>
      <c r="C39" s="56" t="s">
        <v>722</v>
      </c>
      <c r="D39" s="229" t="s">
        <v>723</v>
      </c>
      <c r="E39" s="228" t="s">
        <v>149</v>
      </c>
      <c r="F39" s="56" t="s">
        <v>724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72" t="s">
        <v>725</v>
      </c>
      <c r="C41" s="3"/>
      <c r="D41" s="3"/>
      <c r="E41" s="3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2:F2"/>
    <mergeCell ref="B5:F5"/>
    <mergeCell ref="B13:F13"/>
    <mergeCell ref="B19:F19"/>
    <mergeCell ref="B24:F24"/>
    <mergeCell ref="B28:F28"/>
    <mergeCell ref="B33:F33"/>
    <mergeCell ref="B41:F4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97.0"/>
    <col customWidth="1" min="3" max="3" width="22.0"/>
    <col customWidth="1" min="4" max="4" width="3.0"/>
    <col customWidth="1" min="5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73" t="s">
        <v>726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176" t="s">
        <v>727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1"/>
      <c r="B5" s="230" t="s">
        <v>728</v>
      </c>
      <c r="C5" s="1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0" t="s">
        <v>729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1"/>
      <c r="B11" s="193" t="s">
        <v>730</v>
      </c>
      <c r="C11" s="11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121" t="s">
        <v>731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219" t="s">
        <v>732</v>
      </c>
      <c r="C13" s="11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19" t="s">
        <v>733</v>
      </c>
      <c r="C14" s="11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219" t="s">
        <v>734</v>
      </c>
      <c r="C15" s="1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19" t="s">
        <v>735</v>
      </c>
      <c r="C16" s="11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131" t="s">
        <v>736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31" t="s">
        <v>737</v>
      </c>
      <c r="C18" s="11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231" t="s">
        <v>738</v>
      </c>
      <c r="C19" s="11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31" t="s">
        <v>739</v>
      </c>
      <c r="C20" s="11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231" t="s">
        <v>740</v>
      </c>
      <c r="C21" s="11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31" t="s">
        <v>741</v>
      </c>
      <c r="C22" s="11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48" t="s">
        <v>742</v>
      </c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32" t="s">
        <v>743</v>
      </c>
      <c r="C24" s="11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232" t="s">
        <v>744</v>
      </c>
      <c r="C25" s="11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32" t="s">
        <v>745</v>
      </c>
      <c r="C26" s="11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232" t="s">
        <v>746</v>
      </c>
      <c r="C27" s="11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32" t="s">
        <v>747</v>
      </c>
      <c r="C28" s="11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232" t="s">
        <v>748</v>
      </c>
      <c r="C29" s="11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0" t="s">
        <v>749</v>
      </c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76" t="s">
        <v>750</v>
      </c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9.75" customHeight="1">
      <c r="A38" s="1"/>
      <c r="B38" s="233" t="s">
        <v>751</v>
      </c>
      <c r="C38" s="11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2:C2"/>
    <mergeCell ref="B4:C4"/>
    <mergeCell ref="B5:C5"/>
    <mergeCell ref="B6:C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8:C28"/>
    <mergeCell ref="B29:C29"/>
    <mergeCell ref="B30:C30"/>
    <mergeCell ref="B37:C37"/>
    <mergeCell ref="B38:C38"/>
    <mergeCell ref="B21:C21"/>
    <mergeCell ref="B22:C22"/>
    <mergeCell ref="B23:C23"/>
    <mergeCell ref="B24:C24"/>
    <mergeCell ref="B25:C25"/>
    <mergeCell ref="B26:C26"/>
    <mergeCell ref="B27:C27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95.43"/>
    <col customWidth="1" min="3" max="3" width="22.0"/>
    <col customWidth="1" min="4" max="4" width="3.0"/>
    <col customWidth="1" min="5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73" t="s">
        <v>752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176" t="s">
        <v>753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9.5" customHeight="1">
      <c r="A5" s="1"/>
      <c r="B5" s="230" t="s">
        <v>754</v>
      </c>
      <c r="C5" s="1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0" t="s">
        <v>755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234" t="s">
        <v>756</v>
      </c>
      <c r="C7" s="1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9.5" customHeight="1">
      <c r="A8" s="1"/>
      <c r="B8" s="230" t="s">
        <v>757</v>
      </c>
      <c r="C8" s="11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9.5" customHeight="1">
      <c r="A9" s="1"/>
      <c r="B9" s="199" t="s">
        <v>758</v>
      </c>
      <c r="C9" s="11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35" t="s">
        <v>759</v>
      </c>
      <c r="C10" s="11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234" t="s">
        <v>760</v>
      </c>
      <c r="C11" s="11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9.5" customHeight="1">
      <c r="A12" s="1"/>
      <c r="B12" s="230" t="s">
        <v>761</v>
      </c>
      <c r="C12" s="11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9.5" customHeight="1">
      <c r="A13" s="1"/>
      <c r="B13" s="199" t="s">
        <v>762</v>
      </c>
      <c r="C13" s="11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1"/>
      <c r="B14" s="235" t="s">
        <v>763</v>
      </c>
      <c r="C14" s="11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234" t="s">
        <v>764</v>
      </c>
      <c r="C15" s="1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9.5" customHeight="1">
      <c r="A16" s="1"/>
      <c r="B16" s="193" t="s">
        <v>765</v>
      </c>
      <c r="C16" s="11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9.5" customHeight="1">
      <c r="A17" s="1"/>
      <c r="B17" s="199" t="s">
        <v>766</v>
      </c>
      <c r="C17" s="11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236" t="s">
        <v>767</v>
      </c>
      <c r="C18" s="11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234" t="s">
        <v>768</v>
      </c>
      <c r="C19" s="11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9.5" customHeight="1">
      <c r="A20" s="1"/>
      <c r="B20" s="193" t="s">
        <v>769</v>
      </c>
      <c r="C20" s="11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9.5" customHeight="1">
      <c r="A21" s="1"/>
      <c r="B21" s="199" t="s">
        <v>770</v>
      </c>
      <c r="C21" s="11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36" t="s">
        <v>771</v>
      </c>
      <c r="C22" s="11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234" t="s">
        <v>772</v>
      </c>
      <c r="C23" s="11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9.5" customHeight="1">
      <c r="A24" s="1"/>
      <c r="B24" s="193" t="s">
        <v>773</v>
      </c>
      <c r="C24" s="11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9.5" customHeight="1">
      <c r="A25" s="1"/>
      <c r="B25" s="199" t="s">
        <v>774</v>
      </c>
      <c r="C25" s="11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36" t="s">
        <v>775</v>
      </c>
      <c r="C26" s="11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48" t="s">
        <v>776</v>
      </c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99" t="s">
        <v>777</v>
      </c>
      <c r="C28" s="11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99" t="s">
        <v>778</v>
      </c>
      <c r="C29" s="11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99" t="s">
        <v>779</v>
      </c>
      <c r="C30" s="11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99" t="s">
        <v>780</v>
      </c>
      <c r="C31" s="11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99" t="s">
        <v>781</v>
      </c>
      <c r="C32" s="11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31" t="s">
        <v>782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37" t="s">
        <v>783</v>
      </c>
      <c r="C34" s="1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237" t="s">
        <v>784</v>
      </c>
      <c r="C35" s="1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37" t="s">
        <v>785</v>
      </c>
      <c r="C36" s="1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237" t="s">
        <v>786</v>
      </c>
      <c r="C37" s="1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0" t="s">
        <v>787</v>
      </c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238" t="s">
        <v>788</v>
      </c>
      <c r="C39" s="11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238" t="s">
        <v>789</v>
      </c>
      <c r="C40" s="1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238" t="s">
        <v>790</v>
      </c>
      <c r="C41" s="1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238" t="s">
        <v>791</v>
      </c>
      <c r="C42" s="1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B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37:C37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7.14"/>
    <col customWidth="1" min="3" max="3" width="20.0"/>
    <col customWidth="1" min="4" max="4" width="29.86"/>
    <col customWidth="1" min="5" max="5" width="2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142" t="s">
        <v>792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10" t="s">
        <v>793</v>
      </c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4" t="s">
        <v>794</v>
      </c>
      <c r="C5" s="239">
        <v>32.0</v>
      </c>
      <c r="D5" s="240" t="s">
        <v>795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20" t="s">
        <v>796</v>
      </c>
      <c r="C6" s="241">
        <v>50.0</v>
      </c>
      <c r="D6" s="242" t="s">
        <v>797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4" t="s">
        <v>798</v>
      </c>
      <c r="C7" s="239">
        <v>2026.0</v>
      </c>
      <c r="D7" s="240" t="s">
        <v>799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20" t="s">
        <v>800</v>
      </c>
      <c r="C8" s="243">
        <v>1.1E7</v>
      </c>
      <c r="D8" s="242" t="s">
        <v>801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4" t="s">
        <v>802</v>
      </c>
      <c r="C9" s="244">
        <v>1.1E7</v>
      </c>
      <c r="D9" s="240" t="s">
        <v>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20" t="s">
        <v>803</v>
      </c>
      <c r="C10" s="243">
        <v>1000000.0</v>
      </c>
      <c r="D10" s="242" t="s">
        <v>804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4" t="s">
        <v>805</v>
      </c>
      <c r="C11" s="244">
        <v>1000000.0</v>
      </c>
      <c r="D11" s="240" t="s">
        <v>806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20" t="s">
        <v>807</v>
      </c>
      <c r="C12" s="241">
        <v>2028.0</v>
      </c>
      <c r="D12" s="242" t="s">
        <v>808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4" t="s">
        <v>809</v>
      </c>
      <c r="C13" s="239">
        <v>2030.0</v>
      </c>
      <c r="D13" s="240" t="s">
        <v>808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10" t="s">
        <v>810</v>
      </c>
      <c r="C15" s="3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4" t="s">
        <v>811</v>
      </c>
      <c r="C16" s="245">
        <v>0.06</v>
      </c>
      <c r="D16" s="240" t="s">
        <v>812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20" t="s">
        <v>813</v>
      </c>
      <c r="C17" s="246">
        <v>0.12</v>
      </c>
      <c r="D17" s="242" t="s">
        <v>814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4" t="s">
        <v>19</v>
      </c>
      <c r="C18" s="245">
        <v>0.035</v>
      </c>
      <c r="D18" s="240" t="s">
        <v>815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0" t="s">
        <v>816</v>
      </c>
      <c r="C19" s="246">
        <v>0.05</v>
      </c>
      <c r="D19" s="242" t="s">
        <v>817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4" t="s">
        <v>818</v>
      </c>
      <c r="C20" s="245">
        <v>0.08</v>
      </c>
      <c r="D20" s="240" t="s">
        <v>819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20" t="s">
        <v>820</v>
      </c>
      <c r="C21" s="246">
        <v>0.1</v>
      </c>
      <c r="D21" s="242" t="s">
        <v>821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4" t="s">
        <v>822</v>
      </c>
      <c r="C22" s="188">
        <v>0.073</v>
      </c>
      <c r="D22" s="240" t="s">
        <v>823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20" t="s">
        <v>824</v>
      </c>
      <c r="C23" s="246">
        <v>0.073</v>
      </c>
      <c r="D23" s="242" t="s">
        <v>825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0" t="s">
        <v>826</v>
      </c>
      <c r="C25" s="3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4" t="s">
        <v>827</v>
      </c>
      <c r="C26" s="244">
        <v>267000.0</v>
      </c>
      <c r="D26" s="240" t="s">
        <v>828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20" t="s">
        <v>829</v>
      </c>
      <c r="C27" s="243">
        <v>38000.0</v>
      </c>
      <c r="D27" s="242" t="s">
        <v>830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4" t="s">
        <v>831</v>
      </c>
      <c r="C28" s="126">
        <v>6860594.0</v>
      </c>
      <c r="D28" s="240" t="s">
        <v>832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20" t="s">
        <v>833</v>
      </c>
      <c r="C29" s="155">
        <v>7422750.0</v>
      </c>
      <c r="D29" s="242" t="s">
        <v>834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4" t="s">
        <v>835</v>
      </c>
      <c r="C30" s="247" t="s">
        <v>286</v>
      </c>
      <c r="D30" s="240" t="s">
        <v>836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20" t="s">
        <v>837</v>
      </c>
      <c r="C31" s="248">
        <v>269.0</v>
      </c>
      <c r="D31" s="242" t="s">
        <v>838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4" t="s">
        <v>839</v>
      </c>
      <c r="C32" s="126">
        <v>57328.0</v>
      </c>
      <c r="D32" s="240" t="s">
        <v>840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20" t="s">
        <v>841</v>
      </c>
      <c r="C33" s="243">
        <v>1065000.0</v>
      </c>
      <c r="D33" s="242" t="s">
        <v>842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4" t="s">
        <v>843</v>
      </c>
      <c r="C34" s="244">
        <v>80000.0</v>
      </c>
      <c r="D34" s="240" t="s">
        <v>844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20" t="s">
        <v>845</v>
      </c>
      <c r="C35" s="243">
        <v>60000.0</v>
      </c>
      <c r="D35" s="242" t="s">
        <v>846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4" t="s">
        <v>847</v>
      </c>
      <c r="C36" s="244">
        <v>45000.0</v>
      </c>
      <c r="D36" s="240" t="s">
        <v>72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20" t="s">
        <v>848</v>
      </c>
      <c r="C37" s="243">
        <v>75000.0</v>
      </c>
      <c r="D37" s="242" t="s">
        <v>849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4" t="s">
        <v>850</v>
      </c>
      <c r="C38" s="244">
        <v>6.0E7</v>
      </c>
      <c r="D38" s="240" t="s">
        <v>851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D2"/>
    <mergeCell ref="B4:D4"/>
    <mergeCell ref="B15:D15"/>
    <mergeCell ref="B25:D25"/>
  </mergeCells>
  <printOptions/>
  <pageMargins bottom="1.0" footer="0.0" header="0.0" left="0.75" right="0.75" top="1.0"/>
  <pageSetup paperSize="9" orientation="portrait"/>
  <drawing r:id="rId1"/>
</worksheet>
</file>